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4.최초 진단 보고서\"/>
    </mc:Choice>
  </mc:AlternateContent>
  <xr:revisionPtr revIDLastSave="0" documentId="13_ncr:1_{A1C0A8FB-1554-41E6-BF56-2E9392A1E198}" xr6:coauthVersionLast="47" xr6:coauthVersionMax="47" xr10:uidLastSave="{00000000-0000-0000-0000-000000000000}"/>
  <bookViews>
    <workbookView xWindow="-108" yWindow="-108" windowWidth="23256" windowHeight="12456" tabRatio="623" activeTab="4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Apache)" sheetId="26" r:id="rId4"/>
    <sheet name="3-1. 진단 결과(Apache)" sheetId="11" r:id="rId5"/>
  </sheets>
  <definedNames>
    <definedName name="_xlnm._FilterDatabase" localSheetId="4" hidden="1">'3-1. 진단 결과(Apache)'!$F$3:$G$25</definedName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요약결과(그래프)'!$A$2:$Y$90</definedName>
    <definedName name="_xlnm.Print_Area" localSheetId="3">'2-2. 요약 진단결과(Apache)'!$A$1:$M$27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26" l="1"/>
  <c r="H20" i="26"/>
  <c r="H6" i="26"/>
  <c r="F25" i="11" l="1"/>
  <c r="F19" i="26" l="1"/>
  <c r="J19" i="26" s="1"/>
  <c r="F18" i="26"/>
  <c r="F16" i="26"/>
  <c r="F17" i="26"/>
  <c r="D17" i="25"/>
  <c r="B74" i="25"/>
  <c r="B73" i="25"/>
  <c r="K16" i="26" l="1"/>
  <c r="L16" i="26"/>
  <c r="J16" i="26"/>
  <c r="K17" i="26"/>
  <c r="J17" i="26"/>
  <c r="L17" i="26"/>
  <c r="J18" i="26"/>
  <c r="L18" i="26"/>
  <c r="K18" i="26"/>
  <c r="L19" i="26"/>
  <c r="I19" i="26" s="1"/>
  <c r="K19" i="26"/>
  <c r="F23" i="26"/>
  <c r="F22" i="26"/>
  <c r="F20" i="26"/>
  <c r="F21" i="26"/>
  <c r="F15" i="26"/>
  <c r="F14" i="26"/>
  <c r="F13" i="26"/>
  <c r="F12" i="26"/>
  <c r="F11" i="26"/>
  <c r="F10" i="26"/>
  <c r="F8" i="26"/>
  <c r="F9" i="26"/>
  <c r="F7" i="26"/>
  <c r="F6" i="26"/>
  <c r="I16" i="26" l="1"/>
  <c r="I18" i="26"/>
  <c r="I17" i="26"/>
  <c r="L15" i="26"/>
  <c r="K15" i="26"/>
  <c r="F24" i="26"/>
  <c r="F25" i="26"/>
  <c r="X36" i="25" s="1"/>
  <c r="D18" i="25" l="1"/>
  <c r="C18" i="25" s="1"/>
  <c r="D20" i="25"/>
  <c r="C20" i="25" s="1"/>
  <c r="G5" i="11" l="1"/>
  <c r="G4" i="11"/>
  <c r="G3" i="11"/>
  <c r="D5" i="25"/>
  <c r="F5" i="26"/>
  <c r="F24" i="11" l="1"/>
  <c r="F4" i="26"/>
  <c r="W36" i="25" s="1"/>
  <c r="B72" i="25"/>
  <c r="K11" i="26" l="1"/>
  <c r="L11" i="26"/>
  <c r="J11" i="26"/>
  <c r="K7" i="26"/>
  <c r="L7" i="26"/>
  <c r="J7" i="26"/>
  <c r="L22" i="26"/>
  <c r="J22" i="26"/>
  <c r="K22" i="26"/>
  <c r="J14" i="26"/>
  <c r="L14" i="26"/>
  <c r="K14" i="26"/>
  <c r="L10" i="26"/>
  <c r="K10" i="26"/>
  <c r="J10" i="26"/>
  <c r="J21" i="26"/>
  <c r="L21" i="26"/>
  <c r="K21" i="26"/>
  <c r="J15" i="26"/>
  <c r="L13" i="26"/>
  <c r="K13" i="26"/>
  <c r="J13" i="26"/>
  <c r="L9" i="26"/>
  <c r="J9" i="26"/>
  <c r="K9" i="26"/>
  <c r="L23" i="26"/>
  <c r="K23" i="26"/>
  <c r="J23" i="26"/>
  <c r="J20" i="26"/>
  <c r="K20" i="26"/>
  <c r="L20" i="26"/>
  <c r="J12" i="26"/>
  <c r="L12" i="26"/>
  <c r="K12" i="26"/>
  <c r="L8" i="26"/>
  <c r="K8" i="26"/>
  <c r="J8" i="26"/>
  <c r="J6" i="26"/>
  <c r="I23" i="26" l="1"/>
  <c r="I10" i="26"/>
  <c r="I12" i="26"/>
  <c r="I15" i="26"/>
  <c r="I9" i="26"/>
  <c r="I13" i="26"/>
  <c r="I8" i="26"/>
  <c r="I7" i="26"/>
  <c r="I11" i="26"/>
  <c r="I21" i="26"/>
  <c r="I22" i="26"/>
  <c r="I14" i="26"/>
  <c r="I20" i="26"/>
  <c r="L6" i="26"/>
  <c r="I6" i="26" s="1"/>
  <c r="K6" i="26"/>
  <c r="C73" i="25" l="1"/>
  <c r="C72" i="25"/>
  <c r="C74" i="25"/>
  <c r="C5" i="25"/>
  <c r="D74" i="25" s="1"/>
  <c r="D19" i="25" l="1"/>
  <c r="C19" i="25" s="1"/>
  <c r="D72" i="25"/>
  <c r="D73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<sst xmlns="http://schemas.openxmlformats.org/spreadsheetml/2006/main" count="171" uniqueCount="127">
  <si>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</si>
  <si>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</si>
  <si>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</si>
  <si>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</si>
  <si>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</si>
  <si>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</si>
  <si>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</si>
  <si>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</si>
  <si>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</si>
  <si>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</si>
  <si>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</si>
  <si>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</si>
  <si>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</si>
  <si>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</si>
  <si>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</si>
  <si>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</si>
  <si>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</si>
  <si>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</si>
  <si>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</si>
  <si>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</si>
  <si>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</si>
  <si>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</si>
  <si>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</si>
  <si>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</si>
  <si>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</si>
  <si>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</si>
  <si>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</si>
  <si>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</si>
  <si>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</si>
  <si>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</si>
  <si>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</si>
  <si>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</si>
  <si>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</si>
  <si>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</si>
  <si>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</si>
  <si>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</si>
  <si>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</si>
  <si>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</si>
  <si>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</si>
  <si>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</si>
  <si>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</si>
  <si>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</si>
  <si>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</si>
  <si>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로그 저장 주기</t>
  </si>
  <si>
    <t>양호</t>
    <phoneticPr fontId="3" type="noConversion"/>
  </si>
  <si>
    <t>양호</t>
    <phoneticPr fontId="3" type="noConversion"/>
  </si>
  <si>
    <t>중</t>
    <phoneticPr fontId="3" type="noConversion"/>
  </si>
  <si>
    <t>Apache</t>
    <phoneticPr fontId="3" type="noConversion"/>
  </si>
  <si>
    <t>로그 포맷 설정</t>
  </si>
  <si>
    <t>헤더 정보 노출 방지</t>
  </si>
  <si>
    <t>기본 문서명 사용 제한</t>
  </si>
  <si>
    <t>1. 설정</t>
    <phoneticPr fontId="3" type="noConversion"/>
  </si>
  <si>
    <t>데몬 관리</t>
  </si>
  <si>
    <t>HTTP Method 제한</t>
  </si>
  <si>
    <t>에러 메시지 관리</t>
  </si>
  <si>
    <t>FollowSymLinks 옵션 비활성화</t>
  </si>
  <si>
    <t>MultiViews 옵션 비활성화</t>
  </si>
  <si>
    <t>불필요한 파일 삭제</t>
  </si>
  <si>
    <t>SSL v3.0 POODLE 취약점</t>
  </si>
  <si>
    <t>3. 보안패치</t>
    <phoneticPr fontId="3" type="noConversion"/>
  </si>
  <si>
    <t>2. 솔루션 취약점</t>
    <phoneticPr fontId="3" type="noConversion"/>
  </si>
  <si>
    <t>중</t>
    <phoneticPr fontId="3" type="noConversion"/>
  </si>
  <si>
    <t>상</t>
    <phoneticPr fontId="3" type="noConversion"/>
  </si>
  <si>
    <t>하</t>
    <phoneticPr fontId="3" type="noConversion"/>
  </si>
  <si>
    <t>중</t>
    <phoneticPr fontId="3" type="noConversion"/>
  </si>
  <si>
    <t>하</t>
    <phoneticPr fontId="3" type="noConversion"/>
  </si>
  <si>
    <t>상</t>
    <phoneticPr fontId="3" type="noConversion"/>
  </si>
  <si>
    <t>3. 보안 패치</t>
    <phoneticPr fontId="3" type="noConversion"/>
  </si>
  <si>
    <t>2. 솔루션 취약점</t>
    <phoneticPr fontId="3" type="noConversion"/>
  </si>
  <si>
    <t>상위 디렉터리 접근 금지 설정</t>
  </si>
  <si>
    <t>상위 디렉터리 접근 금지 설정</t>
    <phoneticPr fontId="3" type="noConversion"/>
  </si>
  <si>
    <t>웹 서비스 영역 분리 설정</t>
    <phoneticPr fontId="3" type="noConversion"/>
  </si>
  <si>
    <t>MultiViews 옵션 비활성화</t>
    <phoneticPr fontId="3" type="noConversion"/>
  </si>
  <si>
    <t>양호 - 로그인 불가한 전용 Web Server 계정으로 설정 및 데몬이 구동 중인 경우 
취약 - 로그인 가능한 전용 Web Server 계정으로 설정 및 데몬이 구동 중인 경우</t>
    <phoneticPr fontId="3" type="noConversion"/>
  </si>
  <si>
    <t>양호 - 전용 Web Server 계정 소유이고, 750(drwxr-x---) 권한인 경우 
취약 - 전용 Web Server 계정 소유가 아니거나, 750(drwxr-x---) 권한 초과인 경우</t>
    <phoneticPr fontId="3" type="noConversion"/>
  </si>
  <si>
    <t xml:space="preserve">양호 - IncludesNoExec 또는 -Indexes 옵션이 설정되어 있을 경우 
취약 - Indexes 옵션이 설정되어 있을 경우 </t>
    <phoneticPr fontId="3" type="noConversion"/>
  </si>
  <si>
    <t xml:space="preserve">양호 - 로그 저장 주기 기준에 맞게 운영 중일 경우 
취약 - 로그 저장 주기 기준에 맞게 운영 중이 아닐 경우 </t>
    <phoneticPr fontId="3" type="noConversion"/>
  </si>
  <si>
    <t>양호 - ServerTokens 설정 값이 Prod이고, ServerSignature 설정 값이 Off 이거나, 
SecRuleEngine on, ServerTokens Minimal, SecServerSignatue 설정 값이 존재할 경우 
취약 - ServerTokens 설정 값이 Prod가 아니고, ServerSignature 설정 값이 On 이거나, 
SecRuleEngine on, ServerTokens Minimal, SecServerSignatue 설정 값이 존재하지 
않을 경우</t>
    <phoneticPr fontId="3" type="noConversion"/>
  </si>
  <si>
    <t xml:space="preserve">양호 - LimitExcept를 설정했거나 TraceEnable, Dav 설정 값이 Off 인 경우 
취약 - LimitExcept를 설정하지 않았거나 TraceEnable, Dav 설정 값이 On 인 경우 </t>
    <phoneticPr fontId="3" type="noConversion"/>
  </si>
  <si>
    <t>양호 - 필수 에러 코드 핸들링 설정 및 에러 페이지가 존재하는 경우 
취약 - 필수 에러 코드 핸들링 설정 및 에러 페이지가 존재하지 않는 경우</t>
    <phoneticPr fontId="3" type="noConversion"/>
  </si>
  <si>
    <t>양호 - -FollowSymLinks 설정이 존재하거나 FollowSymLinks 설정이 존재하지 않는 경우 
취약 - FollowSymLinks 설정이 존재하는 경우</t>
    <phoneticPr fontId="3" type="noConversion"/>
  </si>
  <si>
    <t xml:space="preserve">양호 - -MultiViews 설정이 존재하거나 MultiViews 설정이 존재하지 않는 경우 
취약 - MultiViews 설정이 존재하는 경우 </t>
    <phoneticPr fontId="3" type="noConversion"/>
  </si>
  <si>
    <t xml:space="preserve">양호 - 상위 디렉터리에 이동 제한이 설정되어 있는 경우 
취약 - 상위 디렉터리에 이동 제한이 설정되어 있지 않은 경우 </t>
    <phoneticPr fontId="3" type="noConversion"/>
  </si>
  <si>
    <t xml:space="preserve">양호 - DocumentRoot가 유추할 수 없는 디렉터리로 설정되어 있을 경우 
취약 - DocumentRoot가 기본 디렉터리로 설정되어 있을 경우 </t>
    <phoneticPr fontId="3" type="noConversion"/>
  </si>
  <si>
    <t xml:space="preserve">양호 - 불필요한 디렉터리 및 스크립트가 존재하지 않는 경우 
취약 - 불필요한 디렉터리 및 스크립트가 존재하는 경우 </t>
    <phoneticPr fontId="3" type="noConversion"/>
  </si>
  <si>
    <t xml:space="preserve">양호 - 기본 문서명이 index.html이 아닐 경우 
취약 - 기본 문서명이 index.html일 경우 </t>
    <phoneticPr fontId="3" type="noConversion"/>
  </si>
  <si>
    <t>양호 - 암호화 통신 프로토콜에서 TLS가 설정되어 있는 경우 
취약 - 암호화 통신 프로토콜에서 TLS가 설정되어 있지 않는 경우</t>
    <phoneticPr fontId="3" type="noConversion"/>
  </si>
  <si>
    <t>양호 - Apache 권고 기준 이상 버전을 적용 중인 경우 
취약 - Apache 권고 기준 이상 버전을 적용 중이지 않은 경우</t>
    <phoneticPr fontId="3" type="noConversion"/>
  </si>
  <si>
    <t>Apache 취약점 진단 상세결과(18항목)</t>
    <phoneticPr fontId="3" type="noConversion"/>
  </si>
  <si>
    <t>Apache 취약점 진단 요약결과(18항목)</t>
    <phoneticPr fontId="3" type="noConversion"/>
  </si>
  <si>
    <t>"J.W.P. MagicShop" 취약점 진단</t>
    <phoneticPr fontId="3" type="noConversion"/>
  </si>
  <si>
    <t>10.0.0.14</t>
    <phoneticPr fontId="3" type="noConversion"/>
  </si>
  <si>
    <t>Apache 2.4.52</t>
    <phoneticPr fontId="3" type="noConversion"/>
  </si>
  <si>
    <t>WEB Service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</si>
  <si>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</si>
  <si>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</si>
  <si>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</si>
  <si>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jwp-web-01</t>
    <phoneticPr fontId="3" type="noConversion"/>
  </si>
  <si>
    <t xml:space="preserve">  ※ 진단 대상 리스트 - WEB 1대 (Apache 1대)</t>
    <phoneticPr fontId="3" type="noConversion"/>
  </si>
  <si>
    <t xml:space="preserve">양호 - 전용 Web Server 계정 소유이고, 600(-rw-------) 또는 700(-rwx-------) 권한인 경우 
취약 - 전용 Web Server 계정 소유가 아니거나, 600(-rw-------) 또는 700(-rwx-------) 권한 초과인 경우 </t>
    <phoneticPr fontId="3" type="noConversion"/>
  </si>
  <si>
    <t>양호 - 전용 Web Server 계정 소유이고, 디렉터리는 750(drwxr-x---), 파일은 640(-rw-r-----) 권한인 경우 
취약 - 전용 Web Server 계정 소유가 아니거나, 디렉터리는 750(drwxr-x---), 파일은 640(-rw-r-----) 초과인 경우</t>
    <phoneticPr fontId="3" type="noConversion"/>
  </si>
  <si>
    <t xml:space="preserve">양호 - 로그 포맷 설정 값이 combined 이거나 그에 준하는 포맷 스트링으로 설정되어 있는 경우 
취약 - 로그 포맷 설정 값이 combined가 아니거나 그에 준하지 않는 포맷 스트링으로 
설정되어 있는 경우 </t>
    <phoneticPr fontId="3" type="noConversion"/>
  </si>
  <si>
    <t>디렉터리 검색 기능 제거</t>
    <phoneticPr fontId="3" type="noConversion"/>
  </si>
  <si>
    <t>로그 디렉터리/파일 권한 설정</t>
    <phoneticPr fontId="3" type="noConversion"/>
  </si>
  <si>
    <t>관리 서버 디렉터리 권한 설정</t>
    <phoneticPr fontId="3" type="noConversion"/>
  </si>
  <si>
    <t>담당자 인터뷰 결과 로그 관리 정책이 없는 것을 확인</t>
    <phoneticPr fontId="3" type="noConversion"/>
  </si>
  <si>
    <t>Web Server 관련 파일 및 디렉터리 권한이 644, 777로 설정되어 있어 그룹과 일반 사용자에 불필요한 권한이 부여됨</t>
    <phoneticPr fontId="3" type="noConversion"/>
  </si>
  <si>
    <t>Indexes 옵션이 설정되어 있어 디렉터리 검색이 가능함</t>
    <phoneticPr fontId="3" type="noConversion"/>
  </si>
  <si>
    <t>로그 디렉터리/파일 소유자가 전용 Web Server 계정이 아닌 root 계정으로 설정됨</t>
    <phoneticPr fontId="3" type="noConversion"/>
  </si>
  <si>
    <t>ServerTokens 설정 값이 OS이고, ServerSignature 설정 값이 On으로 설정되어 있음</t>
    <phoneticPr fontId="3" type="noConversion"/>
  </si>
  <si>
    <t>LimitExcept 설정 값이 존재하지 않음</t>
    <phoneticPr fontId="3" type="noConversion"/>
  </si>
  <si>
    <t>ErrorDocument 설정이 주석 처리되어 있음</t>
    <phoneticPr fontId="3" type="noConversion"/>
  </si>
  <si>
    <t>FollowSymLinks 설정이 존재함</t>
    <phoneticPr fontId="3" type="noConversion"/>
  </si>
  <si>
    <t>AllowOverride 값이 None으로 설정되어 있음</t>
    <phoneticPr fontId="3" type="noConversion"/>
  </si>
  <si>
    <t>DocumentRoot가 기본 디렉터리인 /var/www/html로 설정되어 있음</t>
    <phoneticPr fontId="3" type="noConversion"/>
  </si>
  <si>
    <t>기본 문서명(DirectoryIndex)이 index.html로 설정되어 있음</t>
    <phoneticPr fontId="3" type="noConversion"/>
  </si>
  <si>
    <t>SSLProtocol 설정에 -SSLv2 값이 빠져있음</t>
    <phoneticPr fontId="3" type="noConversion"/>
  </si>
  <si>
    <t>Apache 설정 파일(userdir.conf)에서 MultiViews 옵션이 활성화되어 있음</t>
    <phoneticPr fontId="3" type="noConversion"/>
  </si>
  <si>
    <t>관리 서버의 디렉터리인 /etc/apache2/가 root 소유이며, 권한은 755로 설정되어 있어 일반 사용자에 불필요한 권한이 부여됨</t>
    <phoneticPr fontId="3" type="noConversion"/>
  </si>
  <si>
    <t>에러 메시지 관리</t>
    <phoneticPr fontId="3" type="noConversion"/>
  </si>
  <si>
    <t>FollowSymLinks 옵션 비활성화</t>
    <phoneticPr fontId="3" type="noConversion"/>
  </si>
  <si>
    <t>SSL v3.0 POODLE 취약점</t>
    <phoneticPr fontId="3" type="noConversion"/>
  </si>
  <si>
    <t>J.W.P. MagicShop-250825</t>
    <phoneticPr fontId="3" type="noConversion"/>
  </si>
  <si>
    <t>취약</t>
    <phoneticPr fontId="3" type="noConversion"/>
  </si>
  <si>
    <t>ver 1.0</t>
    <phoneticPr fontId="3" type="noConversion"/>
  </si>
  <si>
    <t>WEB 서버 진단 상세결과</t>
    <phoneticPr fontId="3" type="noConversion"/>
  </si>
  <si>
    <t>설정 파일 권한 설정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</si>
</sst>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</borders>
  <cellStyleXfs count="48625">
    <xf numFmtId="0" fontId="0" fillId="0" borderId="0"/>
    <xf numFmtId="0" fontId="31" fillId="0" borderId="0"/>
    <xf numFmtId="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2" fillId="0" borderId="0"/>
    <xf numFmtId="0" fontId="37" fillId="0" borderId="19"/>
    <xf numFmtId="4" fontId="32" fillId="0" borderId="0" applyFont="0" applyFill="0" applyBorder="0" applyAlignment="0" applyProtection="0"/>
    <xf numFmtId="3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0" fontId="30" fillId="0" borderId="0">
      <alignment vertical="center"/>
    </xf>
    <xf numFmtId="0" fontId="32" fillId="0" borderId="20" applyNumberFormat="0" applyFont="0" applyFill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8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30" fillId="6" borderId="22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31" fillId="0" borderId="0"/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0" fillId="0" borderId="0"/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30" fillId="0" borderId="0" applyFont="0" applyFill="0" applyBorder="0" applyAlignment="0" applyProtection="0"/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63" fillId="0" borderId="0"/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64" fillId="0" borderId="0">
      <alignment vertical="center"/>
    </xf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5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4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178" fontId="9" fillId="5" borderId="7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29" borderId="3" xfId="0" applyFont="1" applyFill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7" fillId="0" borderId="43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177" fontId="8" fillId="2" borderId="18" xfId="0" applyNumberFormat="1" applyFont="1" applyFill="1" applyBorder="1" applyAlignment="1">
      <alignment horizontal="center" vertical="center" wrapText="1"/>
    </xf>
    <xf numFmtId="178" fontId="26" fillId="2" borderId="12" xfId="0" applyNumberFormat="1" applyFont="1" applyFill="1" applyBorder="1" applyAlignment="1">
      <alignment horizontal="center" vertical="center" wrapText="1"/>
    </xf>
    <xf numFmtId="178" fontId="8" fillId="2" borderId="12" xfId="0" applyNumberFormat="1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52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left" vertical="center" wrapText="1"/>
    </xf>
    <xf numFmtId="178" fontId="72" fillId="0" borderId="4" xfId="0" applyNumberFormat="1" applyFont="1" applyBorder="1" applyAlignment="1">
      <alignment horizontal="center" vertical="center" wrapText="1"/>
    </xf>
    <xf numFmtId="0" fontId="10" fillId="0" borderId="57" xfId="0" applyFont="1" applyBorder="1" applyAlignment="1">
      <alignment horizontal="left" vertical="center" wrapText="1"/>
    </xf>
    <xf numFmtId="0" fontId="10" fillId="0" borderId="59" xfId="0" applyFont="1" applyBorder="1" applyAlignment="1">
      <alignment horizontal="left" vertical="center" wrapText="1"/>
    </xf>
    <xf numFmtId="0" fontId="10" fillId="0" borderId="53" xfId="0" applyFont="1" applyBorder="1" applyAlignment="1">
      <alignment horizontal="left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0" fillId="0" borderId="11" xfId="0" applyBorder="1"/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61" xfId="0" applyFont="1" applyFill="1" applyBorder="1" applyAlignment="1" applyProtection="1">
      <alignment horizontal="center" vertical="center" wrapText="1"/>
      <protection locked="0"/>
    </xf>
    <xf numFmtId="0" fontId="0" fillId="0" borderId="62" xfId="0" applyBorder="1"/>
    <xf numFmtId="0" fontId="12" fillId="0" borderId="11" xfId="0" applyFont="1" applyBorder="1"/>
    <xf numFmtId="0" fontId="10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wrapText="1"/>
    </xf>
    <xf numFmtId="0" fontId="12" fillId="0" borderId="34" xfId="0" applyFont="1" applyBorder="1"/>
    <xf numFmtId="0" fontId="12" fillId="0" borderId="10" xfId="0" applyFont="1" applyBorder="1"/>
    <xf numFmtId="0" fontId="12" fillId="0" borderId="12" xfId="0" applyFont="1" applyBorder="1"/>
    <xf numFmtId="0" fontId="12" fillId="0" borderId="13" xfId="0" applyFont="1" applyBorder="1"/>
    <xf numFmtId="0" fontId="15" fillId="0" borderId="0" xfId="0" applyFont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0" fillId="28" borderId="47" xfId="0" applyFont="1" applyFill="1" applyBorder="1" applyAlignment="1">
      <alignment horizontal="center" vertical="center"/>
    </xf>
    <xf numFmtId="0" fontId="70" fillId="28" borderId="39" xfId="0" applyFont="1" applyFill="1" applyBorder="1" applyAlignment="1">
      <alignment horizontal="center" vertical="center"/>
    </xf>
    <xf numFmtId="0" fontId="70" fillId="28" borderId="4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71" fillId="30" borderId="44" xfId="0" applyFont="1" applyFill="1" applyBorder="1" applyAlignment="1">
      <alignment horizontal="center" vertical="center" wrapText="1"/>
    </xf>
    <xf numFmtId="0" fontId="71" fillId="30" borderId="45" xfId="0" applyFont="1" applyFill="1" applyBorder="1" applyAlignment="1">
      <alignment horizontal="center" vertical="center" wrapText="1"/>
    </xf>
    <xf numFmtId="0" fontId="71" fillId="30" borderId="3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178" fontId="9" fillId="5" borderId="3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73"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F3B3B3"/>
      <color rgb="FFE2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Apache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4717312"/>
        <c:axId val="161289856"/>
        <c:axId val="0"/>
      </c:bar3DChart>
      <c:catAx>
        <c:axId val="22471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61289856"/>
        <c:crosses val="autoZero"/>
        <c:auto val="1"/>
        <c:lblAlgn val="ctr"/>
        <c:lblOffset val="100"/>
        <c:noMultiLvlLbl val="0"/>
      </c:catAx>
      <c:valAx>
        <c:axId val="161289856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2471731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요약결과(그래프)'!$B$72:$B$74</c:f>
              <c:strCache>
                <c:ptCount val="3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</c:strCache>
            </c:strRef>
          </c:cat>
          <c:val>
            <c:numRef>
              <c:f>'2-1. 요약결과(그래프)'!$C$72:$C$74</c:f>
              <c:numCache>
                <c:formatCode>0.0%</c:formatCode>
                <c:ptCount val="3"/>
                <c:pt idx="0">
                  <c:v>0.14285714285714285</c:v>
                </c:pt>
                <c:pt idx="1">
                  <c:v>0.33333333333333331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요약결과(그래프)'!$B$72:$B$74</c:f>
              <c:strCache>
                <c:ptCount val="3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</c:strCache>
            </c:strRef>
          </c:cat>
          <c:val>
            <c:numRef>
              <c:f>'2-1. 요약결과(그래프)'!$D$72:$D$74</c:f>
              <c:numCache>
                <c:formatCode>0.0%</c:formatCode>
                <c:ptCount val="3"/>
                <c:pt idx="0">
                  <c:v>0.22222222222222221</c:v>
                </c:pt>
                <c:pt idx="1">
                  <c:v>0.22222222222222221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3312"/>
        <c:axId val="213282752"/>
      </c:radarChart>
      <c:catAx>
        <c:axId val="2134533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213282752"/>
        <c:crosses val="autoZero"/>
        <c:auto val="1"/>
        <c:lblAlgn val="ctr"/>
        <c:lblOffset val="100"/>
        <c:noMultiLvlLbl val="0"/>
      </c:catAx>
      <c:valAx>
        <c:axId val="21328275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213453312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19F-4350-819A-1837025BEF35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A19F-4350-819A-1837025BEF3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19F-4350-819A-1837025BEF35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19F-4350-819A-1837025BEF35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19F-4350-819A-1837025BEF35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19F-4350-819A-1837025BEF35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C-A19F-4350-819A-1837025BEF35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A19F-4350-819A-1837025BEF35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0-A19F-4350-819A-1837025BE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</c:f>
              <c:strCache>
                <c:ptCount val="1"/>
                <c:pt idx="0">
                  <c:v>jwp-web-01</c:v>
                </c:pt>
              </c:strCache>
            </c:strRef>
          </c:cat>
          <c:val>
            <c:numRef>
              <c:f>'2-1. 요약결과(그래프)'!$X$36</c:f>
              <c:numCache>
                <c:formatCode>0.0%</c:formatCode>
                <c:ptCount val="1"/>
                <c:pt idx="0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19F-4350-819A-1837025BE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212334</xdr:colOff>
      <xdr:row>19</xdr:row>
      <xdr:rowOff>42846</xdr:rowOff>
    </xdr:from>
    <xdr:to>
      <xdr:col>7</xdr:col>
      <xdr:colOff>556130</xdr:colOff>
      <xdr:row>21</xdr:row>
      <xdr:rowOff>81466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679434" y="4395771"/>
          <a:ext cx="1010546" cy="476770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5313</xdr:colOff>
      <xdr:row>70</xdr:row>
      <xdr:rowOff>20868</xdr:rowOff>
    </xdr:from>
    <xdr:to>
      <xdr:col>19</xdr:col>
      <xdr:colOff>354387</xdr:colOff>
      <xdr:row>87</xdr:row>
      <xdr:rowOff>159368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219558" y="13492921"/>
          <a:ext cx="5963619" cy="3111588"/>
          <a:chOff x="-6444720" y="15547655"/>
          <a:chExt cx="6348815" cy="3743983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-6432085" y="15547655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Apache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-6444720" y="16095781"/>
          <a:ext cx="6348815" cy="3195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7F05CC1-07E0-4598-A8DA-84A4A18B27B5}"/>
            </a:ext>
          </a:extLst>
        </xdr:cNvPr>
        <xdr:cNvGrpSpPr/>
      </xdr:nvGrpSpPr>
      <xdr:grpSpPr>
        <a:xfrm>
          <a:off x="173290" y="7483244"/>
          <a:ext cx="10289243" cy="5576735"/>
          <a:chOff x="169212" y="7726816"/>
          <a:chExt cx="10378885" cy="601831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0E728898-C8E9-4733-9A17-33D8E2BE834C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A3145ED-DE36-4CD4-9B9D-13A541BAD86A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12" name="Picture 2">
              <a:extLst>
                <a:ext uri="{FF2B5EF4-FFF2-40B4-BE49-F238E27FC236}">
                  <a16:creationId xmlns:a16="http://schemas.microsoft.com/office/drawing/2014/main" id="{B9FC77BD-27CE-4886-9A24-6D89A07070D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EFFB2F14-C607-48D6-A5B3-235BF7BA0CB5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10" name="왼쪽/오른쪽 화살표 28">
            <a:extLst>
              <a:ext uri="{FF2B5EF4-FFF2-40B4-BE49-F238E27FC236}">
                <a16:creationId xmlns:a16="http://schemas.microsoft.com/office/drawing/2014/main" id="{C125B527-2215-42F3-897A-35A1321DE959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Apache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1</xdr:rowOff>
    </xdr:from>
    <xdr:to>
      <xdr:col>7</xdr:col>
      <xdr:colOff>0</xdr:colOff>
      <xdr:row>8</xdr:row>
      <xdr:rowOff>2171700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82D14D84-0B4E-C334-0496-A6C8D70CCB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" b="48229"/>
        <a:stretch/>
      </xdr:blipFill>
      <xdr:spPr>
        <a:xfrm>
          <a:off x="7632700" y="8674101"/>
          <a:ext cx="7670800" cy="2171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78F062EF-80DA-3924-B75A-D899B1FEF1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" b="66639"/>
        <a:stretch/>
      </xdr:blipFill>
      <xdr:spPr>
        <a:xfrm>
          <a:off x="7632700" y="30505400"/>
          <a:ext cx="7670800" cy="800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18</xdr:row>
      <xdr:rowOff>1</xdr:rowOff>
    </xdr:from>
    <xdr:to>
      <xdr:col>7</xdr:col>
      <xdr:colOff>0</xdr:colOff>
      <xdr:row>18</xdr:row>
      <xdr:rowOff>849086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738C744-36BE-D80C-06A0-1FD6783BD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79769"/>
        <a:stretch/>
      </xdr:blipFill>
      <xdr:spPr>
        <a:xfrm>
          <a:off x="7632700" y="27089101"/>
          <a:ext cx="7670800" cy="8490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0</xdr:colOff>
      <xdr:row>21</xdr:row>
      <xdr:rowOff>647699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A9D41B76-CA6B-55C0-A972-9291EEC8ED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72993"/>
        <a:stretch/>
      </xdr:blipFill>
      <xdr:spPr>
        <a:xfrm>
          <a:off x="7632700" y="29806900"/>
          <a:ext cx="7670800" cy="647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0</xdr:colOff>
      <xdr:row>20</xdr:row>
      <xdr:rowOff>674915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CBA08121-688C-F12D-F3F3-0CE4D3D2F3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71858"/>
        <a:stretch/>
      </xdr:blipFill>
      <xdr:spPr>
        <a:xfrm>
          <a:off x="7632700" y="28930601"/>
          <a:ext cx="7670800" cy="6749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1</xdr:rowOff>
    </xdr:from>
    <xdr:to>
      <xdr:col>7</xdr:col>
      <xdr:colOff>0</xdr:colOff>
      <xdr:row>17</xdr:row>
      <xdr:rowOff>2438400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2037F6E-F6EA-1B15-E671-265B421EE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41901"/>
        <a:stretch/>
      </xdr:blipFill>
      <xdr:spPr>
        <a:xfrm>
          <a:off x="7632700" y="24472901"/>
          <a:ext cx="7670800" cy="24383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16</xdr:row>
      <xdr:rowOff>1</xdr:rowOff>
    </xdr:from>
    <xdr:to>
      <xdr:col>7</xdr:col>
      <xdr:colOff>0</xdr:colOff>
      <xdr:row>16</xdr:row>
      <xdr:rowOff>812800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1679C11-B170-B075-C4F7-15ED9A93B9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80634"/>
        <a:stretch/>
      </xdr:blipFill>
      <xdr:spPr>
        <a:xfrm>
          <a:off x="7632700" y="23469601"/>
          <a:ext cx="7670800" cy="812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15</xdr:row>
      <xdr:rowOff>1</xdr:rowOff>
    </xdr:from>
    <xdr:to>
      <xdr:col>7</xdr:col>
      <xdr:colOff>0</xdr:colOff>
      <xdr:row>15</xdr:row>
      <xdr:rowOff>787400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76EDCA3-83E5-EE79-9C07-89C828588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81239"/>
        <a:stretch/>
      </xdr:blipFill>
      <xdr:spPr>
        <a:xfrm>
          <a:off x="7632700" y="22479001"/>
          <a:ext cx="7670800" cy="7873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13</xdr:row>
      <xdr:rowOff>1</xdr:rowOff>
    </xdr:from>
    <xdr:to>
      <xdr:col>7</xdr:col>
      <xdr:colOff>0</xdr:colOff>
      <xdr:row>13</xdr:row>
      <xdr:rowOff>1651001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1781514-00BB-A723-9CBF-8CD3D2514A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-1" b="60662"/>
        <a:stretch/>
      </xdr:blipFill>
      <xdr:spPr>
        <a:xfrm>
          <a:off x="7480300" y="19545301"/>
          <a:ext cx="7670800" cy="16510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12</xdr:row>
      <xdr:rowOff>2019300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E95A6CE-91D4-BCF3-9EEE-DC082C67D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51885"/>
        <a:stretch/>
      </xdr:blipFill>
      <xdr:spPr>
        <a:xfrm>
          <a:off x="7632700" y="17475200"/>
          <a:ext cx="7670800" cy="20193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10</xdr:row>
      <xdr:rowOff>1</xdr:rowOff>
    </xdr:from>
    <xdr:to>
      <xdr:col>7</xdr:col>
      <xdr:colOff>0</xdr:colOff>
      <xdr:row>11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687963E0-35FF-0DA2-5115-8EE902024A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67060"/>
        <a:stretch/>
      </xdr:blipFill>
      <xdr:spPr>
        <a:xfrm>
          <a:off x="7489371" y="14140544"/>
          <a:ext cx="7674429" cy="13824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7</xdr:col>
      <xdr:colOff>0</xdr:colOff>
      <xdr:row>6</xdr:row>
      <xdr:rowOff>977900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6CB4B24-BB1F-0D1B-7754-5F0F7710C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-1" b="76700"/>
        <a:stretch/>
      </xdr:blipFill>
      <xdr:spPr>
        <a:xfrm>
          <a:off x="7480300" y="3073401"/>
          <a:ext cx="7670800" cy="9778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</xdr:row>
      <xdr:rowOff>1</xdr:rowOff>
    </xdr:from>
    <xdr:to>
      <xdr:col>7</xdr:col>
      <xdr:colOff>0</xdr:colOff>
      <xdr:row>6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4BFCC7-5A5A-8F10-5A5D-A15A040BBC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57204"/>
        <a:stretch/>
      </xdr:blipFill>
      <xdr:spPr>
        <a:xfrm>
          <a:off x="7489371" y="1273630"/>
          <a:ext cx="7674429" cy="17961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3347268</xdr:colOff>
      <xdr:row>21</xdr:row>
      <xdr:rowOff>122443</xdr:rowOff>
    </xdr:from>
    <xdr:to>
      <xdr:col>6</xdr:col>
      <xdr:colOff>5297283</xdr:colOff>
      <xdr:row>21</xdr:row>
      <xdr:rowOff>343913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6CB82C7-0002-4D15-ADA1-09C29D6C3B7C}"/>
            </a:ext>
          </a:extLst>
        </xdr:cNvPr>
        <xdr:cNvSpPr/>
      </xdr:nvSpPr>
      <xdr:spPr>
        <a:xfrm>
          <a:off x="10836639" y="28447072"/>
          <a:ext cx="1950015" cy="221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3337526</xdr:colOff>
      <xdr:row>20</xdr:row>
      <xdr:rowOff>141990</xdr:rowOff>
    </xdr:from>
    <xdr:to>
      <xdr:col>6</xdr:col>
      <xdr:colOff>5518862</xdr:colOff>
      <xdr:row>20</xdr:row>
      <xdr:rowOff>489857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FF0619E6-46C0-4F32-87C4-98FE270FB244}"/>
            </a:ext>
          </a:extLst>
        </xdr:cNvPr>
        <xdr:cNvSpPr/>
      </xdr:nvSpPr>
      <xdr:spPr>
        <a:xfrm>
          <a:off x="10826897" y="27584876"/>
          <a:ext cx="2181336" cy="3478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4016599</xdr:colOff>
      <xdr:row>18</xdr:row>
      <xdr:rowOff>151611</xdr:rowOff>
    </xdr:from>
    <xdr:to>
      <xdr:col>6</xdr:col>
      <xdr:colOff>6955971</xdr:colOff>
      <xdr:row>18</xdr:row>
      <xdr:rowOff>642259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5C3CF41-4335-4115-B866-899FD240C669}"/>
            </a:ext>
          </a:extLst>
        </xdr:cNvPr>
        <xdr:cNvSpPr/>
      </xdr:nvSpPr>
      <xdr:spPr>
        <a:xfrm>
          <a:off x="11505970" y="25711268"/>
          <a:ext cx="2939372" cy="49064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8949</xdr:colOff>
      <xdr:row>17</xdr:row>
      <xdr:rowOff>131619</xdr:rowOff>
    </xdr:from>
    <xdr:to>
      <xdr:col>6</xdr:col>
      <xdr:colOff>2298700</xdr:colOff>
      <xdr:row>17</xdr:row>
      <xdr:rowOff>1638301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FFE7AF8A-A77F-4844-BAD2-D3C57EA663A8}"/>
            </a:ext>
          </a:extLst>
        </xdr:cNvPr>
        <xdr:cNvSpPr/>
      </xdr:nvSpPr>
      <xdr:spPr>
        <a:xfrm>
          <a:off x="7489249" y="25112519"/>
          <a:ext cx="2289751" cy="15066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5301982</xdr:colOff>
      <xdr:row>16</xdr:row>
      <xdr:rowOff>128358</xdr:rowOff>
    </xdr:from>
    <xdr:to>
      <xdr:col>6</xdr:col>
      <xdr:colOff>6284258</xdr:colOff>
      <xdr:row>16</xdr:row>
      <xdr:rowOff>340658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7872D9AB-577A-4AC9-B8D1-17425D035D4B}"/>
            </a:ext>
          </a:extLst>
        </xdr:cNvPr>
        <xdr:cNvSpPr/>
      </xdr:nvSpPr>
      <xdr:spPr>
        <a:xfrm>
          <a:off x="12787511" y="21966382"/>
          <a:ext cx="982276" cy="212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2663999</xdr:colOff>
      <xdr:row>15</xdr:row>
      <xdr:rowOff>137430</xdr:rowOff>
    </xdr:from>
    <xdr:to>
      <xdr:col>6</xdr:col>
      <xdr:colOff>5280213</xdr:colOff>
      <xdr:row>15</xdr:row>
      <xdr:rowOff>476410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B0152DB7-373B-44A8-AB7E-28C23A1B5E7A}"/>
            </a:ext>
          </a:extLst>
        </xdr:cNvPr>
        <xdr:cNvSpPr/>
      </xdr:nvSpPr>
      <xdr:spPr>
        <a:xfrm>
          <a:off x="10149528" y="20908654"/>
          <a:ext cx="2616214" cy="3389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3356814</xdr:colOff>
      <xdr:row>13</xdr:row>
      <xdr:rowOff>125361</xdr:rowOff>
    </xdr:from>
    <xdr:to>
      <xdr:col>6</xdr:col>
      <xdr:colOff>4858403</xdr:colOff>
      <xdr:row>13</xdr:row>
      <xdr:rowOff>818446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1B45B24F-E717-434D-A245-94C158542C5D}"/>
            </a:ext>
          </a:extLst>
        </xdr:cNvPr>
        <xdr:cNvSpPr/>
      </xdr:nvSpPr>
      <xdr:spPr>
        <a:xfrm>
          <a:off x="10846185" y="18620190"/>
          <a:ext cx="1501589" cy="693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3502292</xdr:colOff>
      <xdr:row>12</xdr:row>
      <xdr:rowOff>146091</xdr:rowOff>
    </xdr:from>
    <xdr:to>
      <xdr:col>6</xdr:col>
      <xdr:colOff>5127146</xdr:colOff>
      <xdr:row>12</xdr:row>
      <xdr:rowOff>489857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4B8FCDB-A479-443B-968E-C28A0ADAF5FF}"/>
            </a:ext>
          </a:extLst>
        </xdr:cNvPr>
        <xdr:cNvSpPr/>
      </xdr:nvSpPr>
      <xdr:spPr>
        <a:xfrm>
          <a:off x="10991663" y="16463777"/>
          <a:ext cx="1624854" cy="3437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6237514</xdr:colOff>
      <xdr:row>10</xdr:row>
      <xdr:rowOff>136566</xdr:rowOff>
    </xdr:from>
    <xdr:to>
      <xdr:col>6</xdr:col>
      <xdr:colOff>7470568</xdr:colOff>
      <xdr:row>10</xdr:row>
      <xdr:rowOff>599881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70F70B12-5895-46A1-A821-C766FB944E84}"/>
            </a:ext>
          </a:extLst>
        </xdr:cNvPr>
        <xdr:cNvSpPr/>
      </xdr:nvSpPr>
      <xdr:spPr>
        <a:xfrm>
          <a:off x="13726885" y="14277109"/>
          <a:ext cx="1233054" cy="46331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18111</xdr:colOff>
      <xdr:row>5</xdr:row>
      <xdr:rowOff>1127383</xdr:rowOff>
    </xdr:from>
    <xdr:to>
      <xdr:col>6</xdr:col>
      <xdr:colOff>4454072</xdr:colOff>
      <xdr:row>5</xdr:row>
      <xdr:rowOff>1312439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B65059C7-78E1-4F7A-954D-614D49DA0EC4}"/>
            </a:ext>
          </a:extLst>
        </xdr:cNvPr>
        <xdr:cNvSpPr/>
      </xdr:nvSpPr>
      <xdr:spPr>
        <a:xfrm>
          <a:off x="7650811" y="2397383"/>
          <a:ext cx="4435961" cy="18505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18008</xdr:colOff>
      <xdr:row>6</xdr:row>
      <xdr:rowOff>651766</xdr:rowOff>
    </xdr:from>
    <xdr:to>
      <xdr:col>6</xdr:col>
      <xdr:colOff>931666</xdr:colOff>
      <xdr:row>6</xdr:row>
      <xdr:rowOff>803253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A5441BB-24B7-49D7-B81F-0FF5D4066E34}"/>
            </a:ext>
          </a:extLst>
        </xdr:cNvPr>
        <xdr:cNvSpPr/>
      </xdr:nvSpPr>
      <xdr:spPr>
        <a:xfrm>
          <a:off x="7498308" y="3725166"/>
          <a:ext cx="913658" cy="1514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12701</xdr:colOff>
      <xdr:row>8</xdr:row>
      <xdr:rowOff>965200</xdr:rowOff>
    </xdr:from>
    <xdr:to>
      <xdr:col>6</xdr:col>
      <xdr:colOff>3280949</xdr:colOff>
      <xdr:row>8</xdr:row>
      <xdr:rowOff>1435100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73287081-D4C5-48B3-A05D-D58204B49099}"/>
            </a:ext>
          </a:extLst>
        </xdr:cNvPr>
        <xdr:cNvSpPr/>
      </xdr:nvSpPr>
      <xdr:spPr>
        <a:xfrm>
          <a:off x="7645401" y="9639300"/>
          <a:ext cx="3268248" cy="469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1349317</xdr:colOff>
      <xdr:row>22</xdr:row>
      <xdr:rowOff>147830</xdr:rowOff>
    </xdr:from>
    <xdr:to>
      <xdr:col>6</xdr:col>
      <xdr:colOff>3215258</xdr:colOff>
      <xdr:row>22</xdr:row>
      <xdr:rowOff>481924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8403631-9C5C-42C2-A80F-200A092E9A5D}"/>
            </a:ext>
          </a:extLst>
        </xdr:cNvPr>
        <xdr:cNvSpPr/>
      </xdr:nvSpPr>
      <xdr:spPr>
        <a:xfrm>
          <a:off x="8838688" y="29256230"/>
          <a:ext cx="1865941" cy="3340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7</xdr:row>
      <xdr:rowOff>2</xdr:rowOff>
    </xdr:from>
    <xdr:to>
      <xdr:col>7</xdr:col>
      <xdr:colOff>0</xdr:colOff>
      <xdr:row>7</xdr:row>
      <xdr:rowOff>4198380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5F2BC73-6FC3-AC6A-AB71-31473C5B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32700" y="4254502"/>
          <a:ext cx="7670800" cy="419837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7397</xdr:colOff>
      <xdr:row>7</xdr:row>
      <xdr:rowOff>168728</xdr:rowOff>
    </xdr:from>
    <xdr:to>
      <xdr:col>6</xdr:col>
      <xdr:colOff>885265</xdr:colOff>
      <xdr:row>7</xdr:row>
      <xdr:rowOff>4212772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82159884-BBBF-4DA8-B3F6-D3BF36615AB1}"/>
            </a:ext>
          </a:extLst>
        </xdr:cNvPr>
        <xdr:cNvSpPr/>
      </xdr:nvSpPr>
      <xdr:spPr>
        <a:xfrm>
          <a:off x="7496768" y="4533899"/>
          <a:ext cx="877868" cy="404404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9</xdr:row>
      <xdr:rowOff>2</xdr:rowOff>
    </xdr:from>
    <xdr:to>
      <xdr:col>7</xdr:col>
      <xdr:colOff>0</xdr:colOff>
      <xdr:row>9</xdr:row>
      <xdr:rowOff>4051300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65E0EE3-8185-8E65-6F15-3210EE3EA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3471"/>
        <a:stretch/>
      </xdr:blipFill>
      <xdr:spPr>
        <a:xfrm>
          <a:off x="7480300" y="10985502"/>
          <a:ext cx="7670800" cy="405129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1162648</xdr:colOff>
      <xdr:row>9</xdr:row>
      <xdr:rowOff>622299</xdr:rowOff>
    </xdr:from>
    <xdr:to>
      <xdr:col>6</xdr:col>
      <xdr:colOff>1576450</xdr:colOff>
      <xdr:row>9</xdr:row>
      <xdr:rowOff>4038600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9ABFC89-F678-4BAF-9BCD-8E987900A1F4}"/>
            </a:ext>
          </a:extLst>
        </xdr:cNvPr>
        <xdr:cNvSpPr/>
      </xdr:nvSpPr>
      <xdr:spPr>
        <a:xfrm flipH="1">
          <a:off x="8795348" y="11607799"/>
          <a:ext cx="413802" cy="34163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14</xdr:row>
      <xdr:rowOff>1</xdr:rowOff>
    </xdr:from>
    <xdr:to>
      <xdr:col>7</xdr:col>
      <xdr:colOff>0</xdr:colOff>
      <xdr:row>14</xdr:row>
      <xdr:rowOff>812800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CC03AB3-5F45-0345-7F00-0143DEAAA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b="80633"/>
        <a:stretch/>
      </xdr:blipFill>
      <xdr:spPr>
        <a:xfrm>
          <a:off x="7632700" y="21463001"/>
          <a:ext cx="7670800" cy="812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4474498</xdr:colOff>
      <xdr:row>14</xdr:row>
      <xdr:rowOff>148857</xdr:rowOff>
    </xdr:from>
    <xdr:to>
      <xdr:col>6</xdr:col>
      <xdr:colOff>6019800</xdr:colOff>
      <xdr:row>14</xdr:row>
      <xdr:rowOff>794657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C1F59A3E-5DAC-4C04-9B9A-54B497726B2F}"/>
            </a:ext>
          </a:extLst>
        </xdr:cNvPr>
        <xdr:cNvSpPr/>
      </xdr:nvSpPr>
      <xdr:spPr>
        <a:xfrm>
          <a:off x="12107198" y="21611857"/>
          <a:ext cx="1545302" cy="645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19</xdr:row>
      <xdr:rowOff>1</xdr:rowOff>
    </xdr:from>
    <xdr:to>
      <xdr:col>7</xdr:col>
      <xdr:colOff>0</xdr:colOff>
      <xdr:row>20</xdr:row>
      <xdr:rowOff>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7DB3A233-A95E-46B2-B827-84F8796146F0}"/>
            </a:ext>
          </a:extLst>
        </xdr:cNvPr>
        <xdr:cNvGrpSpPr/>
      </xdr:nvGrpSpPr>
      <xdr:grpSpPr>
        <a:xfrm>
          <a:off x="7639050" y="28232101"/>
          <a:ext cx="7677150" cy="800099"/>
          <a:chOff x="7633252" y="28247010"/>
          <a:chExt cx="7673009" cy="795129"/>
        </a:xfrm>
      </xdr:grpSpPr>
      <xdr:pic>
        <xdr:nvPicPr>
          <xdr:cNvPr id="24" name="그림 23">
            <a:extLst>
              <a:ext uri="{FF2B5EF4-FFF2-40B4-BE49-F238E27FC236}">
                <a16:creationId xmlns:a16="http://schemas.microsoft.com/office/drawing/2014/main" id="{E06DB9B5-DE9F-50D7-2D70-DE30DABFA2A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7"/>
          <a:srcRect b="81239"/>
          <a:stretch/>
        </xdr:blipFill>
        <xdr:spPr>
          <a:xfrm>
            <a:off x="7633252" y="28247010"/>
            <a:ext cx="7673009" cy="795129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1900BA7-FD04-4F4B-8781-D6F835BF83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/>
          <a:srcRect t="18078"/>
          <a:stretch/>
        </xdr:blipFill>
        <xdr:spPr>
          <a:xfrm>
            <a:off x="11642035" y="28260261"/>
            <a:ext cx="576469" cy="16233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topLeftCell="A13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3.5" customHeight="1">
      <c r="B3" s="10"/>
      <c r="C3" s="10"/>
      <c r="D3" s="10"/>
      <c r="E3" s="10"/>
      <c r="F3" s="10"/>
      <c r="G3" s="10"/>
      <c r="H3" s="10"/>
      <c r="I3" s="10"/>
      <c r="J3" s="10"/>
      <c r="K3" s="86" t="s">
        <v>34</v>
      </c>
      <c r="L3" s="8" t="s">
        <v>122</v>
      </c>
    </row>
    <row r="4" spans="2:12" ht="13.5" customHeight="1">
      <c r="B4" s="10"/>
      <c r="C4" s="10"/>
      <c r="D4" s="10"/>
      <c r="E4" s="10"/>
      <c r="F4" s="10"/>
      <c r="G4" s="10"/>
      <c r="H4" s="10"/>
      <c r="I4" s="10"/>
      <c r="J4" s="10"/>
      <c r="K4" s="86" t="s">
        <v>35</v>
      </c>
      <c r="L4" s="15" t="s">
        <v>42</v>
      </c>
    </row>
    <row r="5" spans="2:12" ht="13.5" customHeight="1">
      <c r="B5" s="10"/>
      <c r="C5" s="10"/>
      <c r="D5" s="10"/>
      <c r="E5" s="10"/>
      <c r="F5" s="10"/>
      <c r="G5" s="10"/>
      <c r="H5" s="10"/>
      <c r="I5" s="10"/>
      <c r="J5" s="10"/>
      <c r="K5" s="86" t="s">
        <v>36</v>
      </c>
      <c r="L5" s="15" t="s">
        <v>37</v>
      </c>
    </row>
    <row r="6" spans="2:12" ht="13.5" customHeight="1">
      <c r="B6" s="10"/>
      <c r="C6" s="10"/>
      <c r="D6" s="10"/>
      <c r="E6" s="10"/>
      <c r="F6" s="10"/>
      <c r="G6" s="10"/>
      <c r="H6" s="10"/>
      <c r="I6" s="10"/>
      <c r="J6" s="10"/>
      <c r="K6" s="86" t="s">
        <v>38</v>
      </c>
      <c r="L6" s="15" t="s">
        <v>124</v>
      </c>
    </row>
    <row r="7" spans="2:12" ht="17.399999999999999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ht="17.399999999999999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2" ht="17.399999999999999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ht="17.399999999999999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ht="25.2">
      <c r="B11" s="138" t="s">
        <v>90</v>
      </c>
      <c r="C11" s="138"/>
      <c r="D11" s="138"/>
      <c r="E11" s="138"/>
      <c r="F11" s="138"/>
      <c r="G11" s="139"/>
      <c r="H11" s="139"/>
      <c r="I11" s="139"/>
      <c r="J11" s="139"/>
      <c r="K11" s="139"/>
      <c r="L11" s="139"/>
    </row>
    <row r="12" spans="2:12" ht="17.399999999999999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ht="36">
      <c r="B13" s="140" t="s">
        <v>125</v>
      </c>
      <c r="C13" s="140"/>
      <c r="D13" s="140"/>
      <c r="E13" s="140"/>
      <c r="F13" s="140"/>
      <c r="G13" s="141"/>
      <c r="H13" s="141"/>
      <c r="I13" s="141"/>
      <c r="J13" s="141"/>
      <c r="K13" s="141"/>
      <c r="L13" s="141"/>
    </row>
    <row r="14" spans="2:12" ht="17.399999999999999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ht="20.399999999999999">
      <c r="B15" s="10"/>
      <c r="C15" s="10"/>
      <c r="D15" s="10"/>
      <c r="E15" s="142"/>
      <c r="F15" s="143"/>
      <c r="G15" s="143"/>
      <c r="H15" s="143"/>
      <c r="I15" s="143"/>
      <c r="J15" s="143"/>
      <c r="K15" s="143"/>
      <c r="L15" s="10"/>
    </row>
    <row r="16" spans="2:12" ht="17.399999999999999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17.39999999999999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21">
      <c r="B18" s="144">
        <v>45894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</row>
    <row r="19" spans="2:12" ht="21">
      <c r="B19" s="10"/>
      <c r="C19" s="10"/>
      <c r="D19" s="10"/>
      <c r="E19" s="10"/>
      <c r="F19" s="46"/>
      <c r="G19" s="47"/>
      <c r="H19" s="47"/>
      <c r="I19" s="47"/>
      <c r="J19" s="47"/>
      <c r="K19" s="10"/>
      <c r="L19" s="10"/>
    </row>
    <row r="20" spans="2:12" ht="17.399999999999999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7.399999999999999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7.399999999999999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7.399999999999999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49" t="s">
        <v>98</v>
      </c>
      <c r="C1" s="149"/>
      <c r="D1" s="149"/>
      <c r="E1" s="149"/>
      <c r="F1" s="149"/>
      <c r="G1" s="149"/>
    </row>
    <row r="2" spans="2:8" ht="17.100000000000001" customHeight="1">
      <c r="B2" s="150" t="s">
        <v>12</v>
      </c>
      <c r="C2" s="152" t="s">
        <v>13</v>
      </c>
      <c r="D2" s="152"/>
      <c r="E2" s="152"/>
      <c r="F2" s="152"/>
      <c r="G2" s="153" t="s">
        <v>14</v>
      </c>
    </row>
    <row r="3" spans="2:8" ht="17.100000000000001" customHeight="1">
      <c r="B3" s="151"/>
      <c r="C3" s="56" t="s">
        <v>15</v>
      </c>
      <c r="D3" s="56" t="s">
        <v>27</v>
      </c>
      <c r="E3" s="56" t="s">
        <v>32</v>
      </c>
      <c r="F3" s="56" t="s">
        <v>16</v>
      </c>
      <c r="G3" s="154"/>
    </row>
    <row r="4" spans="2:8" ht="16.5" customHeight="1">
      <c r="B4" s="146" t="s">
        <v>47</v>
      </c>
      <c r="C4" s="147"/>
      <c r="D4" s="147"/>
      <c r="E4" s="147"/>
      <c r="F4" s="147"/>
      <c r="G4" s="148"/>
      <c r="H4" s="32"/>
    </row>
    <row r="5" spans="2:8" ht="16.5" customHeight="1" thickBot="1">
      <c r="B5" s="96">
        <v>1</v>
      </c>
      <c r="C5" s="97" t="s">
        <v>97</v>
      </c>
      <c r="D5" s="98" t="s">
        <v>91</v>
      </c>
      <c r="E5" s="98" t="s">
        <v>92</v>
      </c>
      <c r="F5" s="99" t="s">
        <v>93</v>
      </c>
      <c r="G5" s="100"/>
      <c r="H5" s="32"/>
    </row>
    <row r="6" spans="2:8" ht="16.5" customHeight="1">
      <c r="B6" s="88"/>
      <c r="C6" s="89"/>
      <c r="D6" s="90"/>
      <c r="E6" s="91"/>
      <c r="F6" s="92"/>
      <c r="G6" s="92"/>
      <c r="H6" s="32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78"/>
  <sheetViews>
    <sheetView view="pageBreakPreview" zoomScale="55" zoomScaleNormal="70" zoomScaleSheetLayoutView="55" zoomScalePageLayoutView="70" workbookViewId="0">
      <selection activeCell="B2" sqref="B2:D2"/>
    </sheetView>
  </sheetViews>
  <sheetFormatPr defaultColWidth="8.8984375" defaultRowHeight="15.6"/>
  <cols>
    <col min="1" max="1" width="0.3984375" style="9" customWidth="1"/>
    <col min="2" max="2" width="18.8984375" style="9" bestFit="1" customWidth="1"/>
    <col min="3" max="3" width="10.296875" style="9" customWidth="1"/>
    <col min="4" max="4" width="6.59765625" style="17" customWidth="1"/>
    <col min="5" max="5" width="3.19921875" style="17" customWidth="1"/>
    <col min="6" max="19" width="4.8984375" style="17" customWidth="1"/>
    <col min="20" max="20" width="6.796875" style="17" customWidth="1"/>
    <col min="21" max="21" width="15.296875" style="17" customWidth="1"/>
    <col min="22" max="22" width="10.296875" style="17" customWidth="1"/>
    <col min="23" max="23" width="11.8984375" style="17" customWidth="1"/>
    <col min="24" max="24" width="12.796875" style="17" customWidth="1"/>
    <col min="25" max="25" width="9.796875" style="17" customWidth="1"/>
    <col min="26" max="26" width="9.59765625" style="9" customWidth="1"/>
    <col min="27" max="27" width="10.796875" style="9" customWidth="1"/>
    <col min="28" max="28" width="7.796875" style="9" customWidth="1"/>
    <col min="29" max="29" width="12.69921875" style="9" customWidth="1"/>
    <col min="30" max="31" width="8.8984375" style="9"/>
    <col min="32" max="32" width="3.69921875" style="9" customWidth="1"/>
    <col min="33" max="39" width="8.8984375" style="9"/>
    <col min="40" max="40" width="8.8984375" style="9" customWidth="1"/>
    <col min="41" max="41" width="1.59765625" style="9" customWidth="1"/>
    <col min="42" max="43" width="8.8984375" style="9"/>
    <col min="44" max="44" width="6.09765625" style="9" customWidth="1"/>
    <col min="45" max="45" width="5.09765625" style="9" customWidth="1"/>
    <col min="46" max="46" width="19.796875" style="9" customWidth="1"/>
    <col min="47" max="47" width="7.09765625" style="9" customWidth="1"/>
    <col min="48" max="16384" width="8.8984375" style="9"/>
  </cols>
  <sheetData>
    <row r="1" spans="1:89" ht="6" customHeight="1">
      <c r="C1" s="156"/>
      <c r="D1" s="156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89" ht="50.1" customHeight="1">
      <c r="A2" s="11"/>
      <c r="B2" s="157" t="s">
        <v>17</v>
      </c>
      <c r="C2" s="157"/>
      <c r="D2" s="157"/>
      <c r="E2" s="1"/>
      <c r="F2" s="1"/>
      <c r="G2" s="1"/>
      <c r="H2" s="1"/>
      <c r="I2" s="1"/>
      <c r="J2" s="1"/>
      <c r="K2" s="1"/>
      <c r="L2" s="1"/>
      <c r="M2" s="1"/>
      <c r="N2" s="1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89" ht="20.25" customHeight="1" thickBot="1"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89" ht="20.25" customHeight="1">
      <c r="B4" s="54" t="s">
        <v>18</v>
      </c>
      <c r="C4" s="50" t="s">
        <v>19</v>
      </c>
      <c r="D4" s="19" t="s">
        <v>39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89" ht="20.25" customHeight="1" thickBot="1">
      <c r="B5" s="55" t="s">
        <v>47</v>
      </c>
      <c r="C5" s="121">
        <f>AVERAGE('2-2. 요약 진단결과(Apache)'!F25:F25)</f>
        <v>0.22222222222222221</v>
      </c>
      <c r="D5" s="57">
        <f>COUNTA(#REF!)</f>
        <v>1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9"/>
      <c r="Y5" s="9"/>
    </row>
    <row r="6" spans="1:89" ht="19.2" customHeight="1">
      <c r="B6" s="17"/>
      <c r="C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9"/>
      <c r="Y6" s="9"/>
    </row>
    <row r="7" spans="1:89" ht="19.2" customHeight="1"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89" ht="19.2" customHeight="1"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89" ht="19.2" customHeight="1"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89" ht="19.2" customHeight="1"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89" ht="19.2" customHeight="1"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89" ht="19.2" customHeight="1"/>
    <row r="13" spans="1:89" ht="19.2" customHeight="1"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</row>
    <row r="14" spans="1:89" ht="19.2" customHeight="1">
      <c r="AA14" s="21"/>
    </row>
    <row r="15" spans="1:89" ht="19.2" customHeight="1"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89" ht="19.2" customHeight="1" thickBot="1">
      <c r="U16" s="9"/>
      <c r="V16" s="9"/>
      <c r="W16" s="9"/>
      <c r="X16" s="9"/>
      <c r="Y16" s="9"/>
      <c r="AA16" s="20"/>
      <c r="AB16" s="20"/>
      <c r="AC16" s="20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45" ht="19.2" customHeight="1">
      <c r="B17" s="158" t="s">
        <v>20</v>
      </c>
      <c r="C17" s="159"/>
      <c r="D17" s="78">
        <f>COUNTA('1. 진단 대상'!#REF!)</f>
        <v>1</v>
      </c>
      <c r="U17" s="9"/>
      <c r="V17" s="9"/>
      <c r="W17" s="9"/>
      <c r="X17" s="9"/>
      <c r="Y17" s="9"/>
      <c r="AA17" s="20"/>
      <c r="AB17" s="20"/>
      <c r="AC17" s="20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Q17" s="24"/>
      <c r="AR17" s="17"/>
      <c r="AS17" s="25"/>
    </row>
    <row r="18" spans="2:45" ht="19.2" customHeight="1">
      <c r="B18" s="26" t="s">
        <v>21</v>
      </c>
      <c r="C18" s="27">
        <f>D18/$D$17</f>
        <v>0</v>
      </c>
      <c r="D18" s="28">
        <f>COUNTIF('2-2. 요약 진단결과(Apache)'!F25:F25,"&gt;=0.85")</f>
        <v>0</v>
      </c>
      <c r="U18" s="9"/>
      <c r="V18" s="9"/>
      <c r="W18" s="9"/>
      <c r="X18" s="9"/>
      <c r="Y18" s="9"/>
      <c r="AQ18" s="24"/>
      <c r="AR18" s="17"/>
      <c r="AS18" s="25"/>
    </row>
    <row r="19" spans="2:45" ht="21" customHeight="1">
      <c r="B19" s="26" t="s">
        <v>22</v>
      </c>
      <c r="C19" s="27">
        <f t="shared" ref="C19:C20" si="0">D19/$D$17</f>
        <v>0</v>
      </c>
      <c r="D19" s="28">
        <f>D17-(D18+D20)</f>
        <v>0</v>
      </c>
      <c r="U19" s="9"/>
      <c r="V19" s="9"/>
      <c r="W19" s="9"/>
      <c r="X19" s="9"/>
      <c r="Y19" s="9"/>
      <c r="AQ19" s="24"/>
      <c r="AR19" s="17"/>
      <c r="AS19" s="25"/>
    </row>
    <row r="20" spans="2:45" ht="19.2" customHeight="1" thickBot="1">
      <c r="B20" s="29" t="s">
        <v>23</v>
      </c>
      <c r="C20" s="87">
        <f t="shared" si="0"/>
        <v>1</v>
      </c>
      <c r="D20" s="30">
        <f>COUNTIF('2-2. 요약 진단결과(Apache)'!F25:F25,"&lt;0.7")</f>
        <v>1</v>
      </c>
      <c r="U20" s="9"/>
      <c r="V20" s="9"/>
      <c r="W20" s="9"/>
      <c r="X20" s="9"/>
      <c r="Y20" s="9"/>
      <c r="AQ20" s="24"/>
      <c r="AR20" s="17"/>
      <c r="AS20" s="25"/>
    </row>
    <row r="21" spans="2:45" ht="19.2" customHeight="1">
      <c r="U21" s="9"/>
      <c r="V21" s="9"/>
      <c r="W21" s="9"/>
      <c r="X21" s="9"/>
      <c r="Y21" s="9"/>
      <c r="AQ21" s="24"/>
      <c r="AR21" s="17"/>
      <c r="AS21" s="25"/>
    </row>
    <row r="22" spans="2:45" ht="19.2">
      <c r="U22" s="9"/>
      <c r="V22" s="9"/>
      <c r="W22" s="9"/>
      <c r="X22" s="9"/>
      <c r="Y22" s="9"/>
      <c r="AQ22" s="24"/>
      <c r="AR22" s="17"/>
      <c r="AS22" s="25"/>
    </row>
    <row r="23" spans="2:45" ht="19.2">
      <c r="U23" s="9"/>
      <c r="V23" s="9"/>
      <c r="W23" s="9"/>
      <c r="X23" s="9"/>
      <c r="Y23" s="9"/>
      <c r="AQ23" s="24"/>
      <c r="AR23" s="17"/>
      <c r="AS23" s="25"/>
    </row>
    <row r="24" spans="2:45" ht="19.2">
      <c r="U24" s="9"/>
      <c r="V24" s="9"/>
      <c r="W24" s="9"/>
      <c r="X24" s="9"/>
      <c r="Y24" s="9"/>
      <c r="AQ24" s="24"/>
      <c r="AR24" s="17"/>
      <c r="AS24" s="25"/>
    </row>
    <row r="25" spans="2:45" ht="19.2">
      <c r="U25" s="9"/>
      <c r="V25" s="9"/>
      <c r="W25" s="9"/>
      <c r="X25" s="9"/>
      <c r="Y25" s="9"/>
      <c r="AQ25" s="24"/>
      <c r="AR25" s="17"/>
      <c r="AS25" s="25"/>
    </row>
    <row r="26" spans="2:45" ht="19.2">
      <c r="U26" s="9"/>
      <c r="V26" s="9"/>
      <c r="W26" s="9"/>
      <c r="X26" s="9"/>
      <c r="Y26" s="9"/>
      <c r="AQ26" s="24"/>
      <c r="AR26" s="17"/>
      <c r="AS26" s="25"/>
    </row>
    <row r="27" spans="2:45" ht="19.2">
      <c r="U27" s="9"/>
      <c r="V27" s="9"/>
      <c r="W27" s="9"/>
      <c r="X27" s="9"/>
      <c r="Y27" s="9"/>
      <c r="AQ27" s="24"/>
      <c r="AR27" s="17"/>
      <c r="AS27" s="25"/>
    </row>
    <row r="28" spans="2:45" ht="19.2">
      <c r="U28" s="9"/>
      <c r="V28" s="9"/>
      <c r="W28" s="9"/>
      <c r="X28" s="9"/>
      <c r="Y28" s="9"/>
      <c r="AQ28" s="24"/>
      <c r="AR28" s="17"/>
      <c r="AS28" s="25"/>
    </row>
    <row r="29" spans="2:45" ht="19.2">
      <c r="U29" s="9"/>
      <c r="V29" s="9"/>
      <c r="W29" s="9"/>
      <c r="X29" s="9"/>
      <c r="Y29" s="9"/>
      <c r="AQ29" s="24"/>
      <c r="AR29" s="17"/>
      <c r="AS29" s="25"/>
    </row>
    <row r="30" spans="2:45" ht="19.2">
      <c r="X30" s="9"/>
      <c r="Y30" s="9"/>
      <c r="AQ30" s="24"/>
      <c r="AR30" s="17"/>
      <c r="AS30" s="25"/>
    </row>
    <row r="31" spans="2:45" ht="19.2">
      <c r="X31" s="9"/>
      <c r="Y31" s="9"/>
      <c r="AQ31" s="24"/>
      <c r="AR31" s="17"/>
      <c r="AS31" s="25"/>
    </row>
    <row r="32" spans="2:45">
      <c r="W32" s="9"/>
      <c r="X32" s="9"/>
      <c r="Y32" s="9"/>
    </row>
    <row r="33" spans="22:39" ht="13.5" customHeight="1" thickBot="1">
      <c r="W33" s="9"/>
      <c r="X33" s="9"/>
      <c r="Y33" s="9"/>
      <c r="AJ33" s="155"/>
      <c r="AK33" s="155"/>
      <c r="AL33" s="155"/>
    </row>
    <row r="34" spans="22:39" ht="13.5" customHeight="1">
      <c r="V34" s="160" t="s">
        <v>47</v>
      </c>
      <c r="W34" s="161"/>
      <c r="X34" s="162"/>
      <c r="Y34" s="9"/>
      <c r="AJ34" s="24"/>
      <c r="AK34" s="24"/>
      <c r="AL34" s="24"/>
    </row>
    <row r="35" spans="22:39" ht="13.5" customHeight="1">
      <c r="V35" s="93" t="s">
        <v>94</v>
      </c>
      <c r="W35" s="94" t="s">
        <v>95</v>
      </c>
      <c r="X35" s="95" t="s">
        <v>96</v>
      </c>
      <c r="Y35" s="9"/>
      <c r="AI35" s="24"/>
      <c r="AJ35" s="17"/>
      <c r="AK35" s="155"/>
      <c r="AL35" s="155"/>
      <c r="AM35" s="155"/>
    </row>
    <row r="36" spans="22:39" ht="13.5" customHeight="1" thickBot="1">
      <c r="V36" s="112">
        <v>1</v>
      </c>
      <c r="W36" s="35" t="str">
        <f>HLOOKUP($V36,'2-2. 요약 진단결과(Apache)'!$F$3:$F$27,2,0)</f>
        <v>jwp-web-01</v>
      </c>
      <c r="X36" s="113">
        <f>HLOOKUP($V36,'2-2. 요약 진단결과(Apache)'!$F$3:$F$25,23,0)</f>
        <v>0.22222222222222221</v>
      </c>
      <c r="Y36" s="9"/>
      <c r="AI36" s="24"/>
      <c r="AJ36" s="17"/>
      <c r="AK36" s="24"/>
      <c r="AL36" s="24"/>
      <c r="AM36" s="24"/>
    </row>
    <row r="37" spans="22:39" ht="13.5" customHeight="1">
      <c r="V37" s="9"/>
      <c r="W37" s="9"/>
      <c r="X37" s="9"/>
      <c r="Y37" s="9"/>
      <c r="AF37" s="24"/>
      <c r="AG37" s="17"/>
      <c r="AH37" s="24"/>
      <c r="AI37" s="17"/>
      <c r="AJ37" s="25"/>
    </row>
    <row r="38" spans="22:39" ht="13.5" customHeight="1"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4"/>
      <c r="AG38" s="17"/>
      <c r="AH38" s="24"/>
      <c r="AI38" s="17"/>
      <c r="AJ38" s="25"/>
    </row>
    <row r="39" spans="22:39" ht="13.5" customHeight="1"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4"/>
      <c r="AG39" s="17"/>
      <c r="AH39" s="24"/>
      <c r="AI39" s="17"/>
      <c r="AJ39" s="25"/>
    </row>
    <row r="40" spans="22:39" ht="13.5" customHeight="1"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4"/>
      <c r="AG40" s="17"/>
      <c r="AH40" s="24"/>
      <c r="AI40" s="17"/>
      <c r="AJ40" s="25"/>
    </row>
    <row r="41" spans="22:39" ht="13.5" customHeight="1"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4"/>
      <c r="AG41" s="17"/>
      <c r="AH41" s="24"/>
      <c r="AI41" s="17"/>
      <c r="AJ41" s="25"/>
    </row>
    <row r="42" spans="22:39" ht="13.5" customHeight="1"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4"/>
      <c r="AG42" s="17"/>
      <c r="AH42" s="24"/>
      <c r="AI42" s="17"/>
      <c r="AJ42" s="25"/>
    </row>
    <row r="43" spans="22:39" ht="13.5" customHeight="1">
      <c r="V43" s="9"/>
      <c r="W43" s="9"/>
      <c r="X43" s="9"/>
      <c r="Y43" s="9"/>
      <c r="AF43" s="24"/>
      <c r="AG43" s="17"/>
      <c r="AH43" s="24"/>
      <c r="AI43" s="17"/>
      <c r="AJ43" s="25"/>
    </row>
    <row r="44" spans="22:39" ht="13.5" customHeight="1">
      <c r="V44" s="9"/>
      <c r="W44" s="9"/>
      <c r="X44" s="9"/>
      <c r="Y44" s="9"/>
      <c r="AF44" s="24"/>
      <c r="AG44" s="17"/>
      <c r="AH44" s="24"/>
      <c r="AI44" s="17"/>
      <c r="AJ44" s="25"/>
    </row>
    <row r="45" spans="22:39" ht="13.5" customHeight="1">
      <c r="V45" s="9"/>
      <c r="W45" s="9"/>
      <c r="X45" s="9"/>
      <c r="Y45" s="9"/>
      <c r="AF45" s="24"/>
      <c r="AG45" s="17"/>
      <c r="AH45" s="24"/>
      <c r="AI45" s="17"/>
      <c r="AJ45" s="25"/>
    </row>
    <row r="46" spans="22:39" ht="13.5" customHeight="1">
      <c r="V46" s="9"/>
      <c r="W46" s="9"/>
      <c r="X46" s="9"/>
      <c r="Y46" s="9"/>
      <c r="AF46" s="24"/>
      <c r="AG46" s="17"/>
      <c r="AH46" s="24"/>
      <c r="AI46" s="17"/>
      <c r="AJ46" s="25"/>
    </row>
    <row r="47" spans="22:39" ht="13.5" customHeight="1">
      <c r="V47" s="9"/>
      <c r="W47" s="9"/>
      <c r="X47" s="9"/>
      <c r="Y47" s="9"/>
      <c r="AF47" s="24"/>
      <c r="AG47" s="17"/>
      <c r="AH47" s="24"/>
      <c r="AI47" s="17"/>
      <c r="AJ47" s="25"/>
    </row>
    <row r="48" spans="22:39" ht="13.5" customHeight="1">
      <c r="V48" s="9"/>
      <c r="W48" s="9"/>
      <c r="X48" s="9"/>
      <c r="Y48" s="9"/>
      <c r="AF48" s="24"/>
      <c r="AG48" s="17"/>
      <c r="AH48" s="24"/>
      <c r="AI48" s="17"/>
      <c r="AJ48" s="25"/>
    </row>
    <row r="49" spans="22:37" ht="13.5" customHeight="1">
      <c r="V49" s="9"/>
      <c r="W49" s="9"/>
      <c r="X49" s="9"/>
      <c r="Y49" s="9"/>
      <c r="AF49" s="24"/>
      <c r="AG49" s="17"/>
      <c r="AH49" s="24"/>
      <c r="AI49" s="17"/>
      <c r="AJ49" s="25"/>
    </row>
    <row r="50" spans="22:37" ht="13.5" customHeight="1">
      <c r="V50" s="9"/>
      <c r="W50" s="9"/>
      <c r="X50" s="9"/>
      <c r="Y50" s="9"/>
      <c r="AF50" s="24"/>
      <c r="AG50" s="17"/>
      <c r="AH50" s="24"/>
      <c r="AI50" s="17"/>
      <c r="AJ50" s="25"/>
    </row>
    <row r="51" spans="22:37" ht="13.5" customHeight="1">
      <c r="X51" s="9"/>
      <c r="Y51" s="9"/>
      <c r="AI51" s="24"/>
      <c r="AJ51" s="17"/>
      <c r="AK51" s="25"/>
    </row>
    <row r="52" spans="22:37" ht="13.5" customHeight="1">
      <c r="W52" s="24"/>
      <c r="X52" s="9"/>
      <c r="Y52" s="9"/>
      <c r="AI52" s="24"/>
      <c r="AJ52" s="17"/>
      <c r="AK52" s="25"/>
    </row>
    <row r="53" spans="22:37" ht="13.5" customHeight="1">
      <c r="W53" s="24"/>
      <c r="X53" s="9"/>
      <c r="Y53" s="9"/>
      <c r="AI53" s="24"/>
      <c r="AJ53" s="17"/>
      <c r="AK53" s="25"/>
    </row>
    <row r="54" spans="22:37" ht="13.5" customHeight="1">
      <c r="W54" s="24"/>
      <c r="X54" s="9"/>
      <c r="Y54" s="9"/>
      <c r="AI54" s="24"/>
      <c r="AJ54" s="17"/>
      <c r="AK54" s="25"/>
    </row>
    <row r="55" spans="22:37" ht="13.5" customHeight="1">
      <c r="W55" s="24"/>
      <c r="X55" s="9"/>
      <c r="Y55" s="9"/>
    </row>
    <row r="56" spans="22:37" ht="13.5" customHeight="1">
      <c r="W56" s="24"/>
      <c r="Y56" s="9"/>
    </row>
    <row r="57" spans="22:37" ht="13.5" customHeight="1">
      <c r="W57" s="24"/>
      <c r="Y57" s="9"/>
    </row>
    <row r="58" spans="22:37" ht="13.5" customHeight="1">
      <c r="W58" s="24"/>
      <c r="Y58" s="9"/>
    </row>
    <row r="59" spans="22:37" ht="13.5" customHeight="1">
      <c r="W59" s="24"/>
      <c r="Y59" s="9"/>
    </row>
    <row r="60" spans="22:37" ht="13.5" customHeight="1">
      <c r="W60" s="24"/>
      <c r="Y60" s="9"/>
    </row>
    <row r="61" spans="22:37" ht="13.5" customHeight="1">
      <c r="W61" s="24"/>
      <c r="Y61" s="9"/>
    </row>
    <row r="62" spans="22:37" ht="13.5" customHeight="1">
      <c r="W62" s="24"/>
      <c r="Y62" s="9"/>
    </row>
    <row r="63" spans="22:37" ht="13.5" customHeight="1">
      <c r="W63" s="24"/>
      <c r="Y63" s="9"/>
    </row>
    <row r="64" spans="22:37" ht="13.5" customHeight="1">
      <c r="W64" s="24"/>
      <c r="Y64" s="9"/>
    </row>
    <row r="65" spans="2:25" ht="13.5" customHeight="1">
      <c r="Y65" s="9"/>
    </row>
    <row r="66" spans="2:25" ht="13.5" customHeight="1">
      <c r="Y66" s="9"/>
    </row>
    <row r="67" spans="2:25" ht="13.5" customHeight="1">
      <c r="Y67" s="9"/>
    </row>
    <row r="68" spans="2:25" ht="13.5" customHeight="1">
      <c r="V68" s="9"/>
      <c r="Y68" s="9"/>
    </row>
    <row r="69" spans="2:25" ht="13.5" customHeight="1">
      <c r="V69" s="9"/>
      <c r="Y69" s="9"/>
    </row>
    <row r="70" spans="2:25" ht="13.5" customHeight="1" thickBot="1">
      <c r="W70" s="9"/>
    </row>
    <row r="71" spans="2:25" ht="13.5" customHeight="1">
      <c r="B71" s="23" t="s">
        <v>24</v>
      </c>
      <c r="C71" s="42" t="s">
        <v>25</v>
      </c>
      <c r="D71" s="43" t="s">
        <v>26</v>
      </c>
    </row>
    <row r="72" spans="2:25" ht="13.5" customHeight="1">
      <c r="B72" s="26" t="str">
        <f>'2-2. 요약 진단결과(Apache)'!B6</f>
        <v>1. 설정</v>
      </c>
      <c r="C72" s="27">
        <f>'2-2. 요약 진단결과(Apache)'!H6</f>
        <v>0.14285714285714285</v>
      </c>
      <c r="D72" s="41">
        <f>$C$5</f>
        <v>0.22222222222222221</v>
      </c>
    </row>
    <row r="73" spans="2:25" ht="13.5" customHeight="1">
      <c r="B73" s="26" t="str">
        <f>'2-2. 요약 진단결과(Apache)'!B20</f>
        <v>2. 솔루션 취약점</v>
      </c>
      <c r="C73" s="27">
        <f>'2-2. 요약 진단결과(Apache)'!H20</f>
        <v>0.33333333333333331</v>
      </c>
      <c r="D73" s="41">
        <f>$C$5</f>
        <v>0.22222222222222221</v>
      </c>
    </row>
    <row r="74" spans="2:25" ht="13.5" customHeight="1" thickBot="1">
      <c r="B74" s="29" t="str">
        <f>'2-2. 요약 진단결과(Apache)'!B23</f>
        <v>3. 보안패치</v>
      </c>
      <c r="C74" s="87">
        <f>'2-2. 요약 진단결과(Apache)'!H23</f>
        <v>1</v>
      </c>
      <c r="D74" s="113">
        <f>$C$5</f>
        <v>0.22222222222222221</v>
      </c>
    </row>
    <row r="75" spans="2:25" ht="13.5" customHeight="1">
      <c r="U75" s="9"/>
      <c r="V75" s="9"/>
    </row>
    <row r="76" spans="2:25">
      <c r="U76" s="79"/>
      <c r="V76" s="40"/>
      <c r="W76" s="40"/>
    </row>
    <row r="77" spans="2:25">
      <c r="U77" s="79"/>
      <c r="V77" s="40"/>
      <c r="W77" s="40"/>
    </row>
    <row r="78" spans="2:25">
      <c r="D78" s="9"/>
    </row>
  </sheetData>
  <mergeCells count="6">
    <mergeCell ref="AK35:AM35"/>
    <mergeCell ref="C1:D1"/>
    <mergeCell ref="B2:D2"/>
    <mergeCell ref="B17:C17"/>
    <mergeCell ref="AJ33:AL33"/>
    <mergeCell ref="V34:X34"/>
  </mergeCells>
  <phoneticPr fontId="3" type="noConversion"/>
  <conditionalFormatting sqref="A2:O2">
    <cfRule type="cellIs" dxfId="72" priority="49" operator="equal">
      <formula>"N/A"</formula>
    </cfRule>
  </conditionalFormatting>
  <conditionalFormatting sqref="B4:D5">
    <cfRule type="cellIs" dxfId="71" priority="5" operator="equal">
      <formula>"N/A"</formula>
    </cfRule>
  </conditionalFormatting>
  <conditionalFormatting sqref="AA12:AK12">
    <cfRule type="cellIs" dxfId="70" priority="16" operator="equal">
      <formula>"N/A"</formula>
    </cfRule>
    <cfRule type="cellIs" dxfId="69" priority="17" operator="equal">
      <formula>"N/A"</formula>
    </cfRule>
    <cfRule type="cellIs" dxfId="68" priority="18" operator="equal">
      <formula>"""N/A"""</formula>
    </cfRule>
  </conditionalFormatting>
  <conditionalFormatting sqref="AJ37:AJ50 AK51:AK54">
    <cfRule type="cellIs" dxfId="67" priority="1" operator="equal">
      <formula>"N/A"</formula>
    </cfRule>
    <cfRule type="cellIs" dxfId="66" priority="2" operator="equal">
      <formula>"N/A"</formula>
    </cfRule>
    <cfRule type="cellIs" dxfId="65" priority="3" operator="equal">
      <formula>"""N/A"""</formula>
    </cfRule>
  </conditionalFormatting>
  <conditionalFormatting sqref="AS17:AS31">
    <cfRule type="cellIs" dxfId="64" priority="13" operator="equal">
      <formula>"N/A"</formula>
    </cfRule>
    <cfRule type="cellIs" dxfId="63" priority="14" operator="equal">
      <formula>"N/A"</formula>
    </cfRule>
    <cfRule type="cellIs" dxfId="62" priority="15" operator="equal">
      <formula>"""N/A"""</formula>
    </cfRule>
  </conditionalFormatting>
  <printOptions horizontalCentered="1"/>
  <pageMargins left="0.25" right="0.25" top="0.75" bottom="0.75" header="0.3" footer="0.3"/>
  <pageSetup paperSize="9" scale="71" orientation="landscape" r:id="rId1"/>
  <headerFooter alignWithMargins="0">
    <oddFooter>&amp;C&amp;P/&amp;N&amp;R&amp;G</oddFooter>
  </headerFooter>
  <rowBreaks count="2" manualBreakCount="2">
    <brk id="30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view="pageBreakPreview" zoomScale="60" zoomScaleNormal="70" workbookViewId="0">
      <selection activeCell="O7" sqref="O7"/>
    </sheetView>
  </sheetViews>
  <sheetFormatPr defaultColWidth="8.8984375" defaultRowHeight="13.8"/>
  <cols>
    <col min="1" max="1" width="1.796875" style="1" customWidth="1"/>
    <col min="2" max="2" width="13.3984375" style="1" customWidth="1"/>
    <col min="3" max="3" width="4" style="1" customWidth="1"/>
    <col min="4" max="4" width="40.796875" style="1" customWidth="1"/>
    <col min="5" max="5" width="3.796875" style="6" customWidth="1"/>
    <col min="6" max="6" width="13.796875" style="6" customWidth="1"/>
    <col min="7" max="7" width="8.8984375" style="2"/>
    <col min="8" max="8" width="11" style="58" bestFit="1" customWidth="1"/>
    <col min="9" max="12" width="8.8984375" style="58"/>
    <col min="13" max="16384" width="8.8984375" style="2"/>
  </cols>
  <sheetData>
    <row r="1" spans="1:12" ht="13.5" customHeight="1"/>
    <row r="2" spans="1:12" ht="42" customHeight="1" thickBot="1">
      <c r="A2" s="11"/>
      <c r="B2" s="169" t="s">
        <v>89</v>
      </c>
      <c r="C2" s="169"/>
      <c r="D2" s="169"/>
      <c r="E2" s="169"/>
      <c r="F2" s="169"/>
    </row>
    <row r="3" spans="1:12" ht="16.5" customHeight="1">
      <c r="A3" s="13"/>
      <c r="B3" s="163" t="s">
        <v>1</v>
      </c>
      <c r="C3" s="166" t="s">
        <v>2</v>
      </c>
      <c r="D3" s="166" t="s">
        <v>3</v>
      </c>
      <c r="E3" s="166" t="s">
        <v>4</v>
      </c>
      <c r="F3" s="19">
        <v>1</v>
      </c>
    </row>
    <row r="4" spans="1:12" ht="25.8" thickBot="1">
      <c r="A4" s="13"/>
      <c r="B4" s="164"/>
      <c r="C4" s="167"/>
      <c r="D4" s="167"/>
      <c r="E4" s="167"/>
      <c r="F4" s="101" t="str">
        <f>VLOOKUP(F$3,'1. 진단 대상'!$B5:$F$5,2,FALSE)</f>
        <v>jwp-web-01</v>
      </c>
    </row>
    <row r="5" spans="1:12" ht="16.5" customHeight="1" thickBot="1">
      <c r="A5" s="13"/>
      <c r="B5" s="165"/>
      <c r="C5" s="168"/>
      <c r="D5" s="168"/>
      <c r="E5" s="168"/>
      <c r="F5" s="102" t="str">
        <f>VLOOKUP(F$3,'1. 진단 대상'!$B5:$F$5,3,FALSE)</f>
        <v>10.0.0.14</v>
      </c>
      <c r="G5" s="2" t="s">
        <v>40</v>
      </c>
      <c r="H5" s="59" t="s">
        <v>28</v>
      </c>
      <c r="I5" s="60" t="s">
        <v>29</v>
      </c>
      <c r="J5" s="60" t="s">
        <v>0</v>
      </c>
      <c r="K5" s="60" t="s">
        <v>11</v>
      </c>
      <c r="L5" s="61" t="s">
        <v>9</v>
      </c>
    </row>
    <row r="6" spans="1:12" ht="16.5" customHeight="1">
      <c r="A6" s="14"/>
      <c r="B6" s="177" t="s">
        <v>51</v>
      </c>
      <c r="C6" s="36">
        <v>1</v>
      </c>
      <c r="D6" s="33" t="s">
        <v>52</v>
      </c>
      <c r="E6" s="36" t="s">
        <v>62</v>
      </c>
      <c r="F6" s="103" t="str">
        <f>HLOOKUP(F$3,'3-1. 진단 결과(Apache)'!$F$3:$G$23,ROW(A4),FALSE)</f>
        <v>양호</v>
      </c>
      <c r="H6" s="170">
        <f>IF(COUNTIF(I6:I19,"N/A")=COUNTA(I6:I19),"N/A",AVERAGE(I6:I19))</f>
        <v>0.14285714285714285</v>
      </c>
      <c r="I6" s="70">
        <f t="shared" ref="I6:I18" si="0">IF(COUNTIF($F6:$F6,"N/A")=COUNTA($F6:$F6),"N/A",$J6/(COUNTA($F6:$F6)-$L6))</f>
        <v>1</v>
      </c>
      <c r="J6" s="71">
        <f t="shared" ref="J6:J19" si="1">COUNTIF($F6:$F6,"양호")</f>
        <v>1</v>
      </c>
      <c r="K6" s="72">
        <f t="shared" ref="K6:K18" si="2">COUNTIF($F6:$F6,"취약")</f>
        <v>0</v>
      </c>
      <c r="L6" s="73">
        <f t="shared" ref="L6:L18" si="3">COUNTIF($F6:$F6,"N/A")</f>
        <v>0</v>
      </c>
    </row>
    <row r="7" spans="1:12" ht="16.5" customHeight="1">
      <c r="A7" s="9"/>
      <c r="B7" s="178"/>
      <c r="C7" s="39">
        <v>2</v>
      </c>
      <c r="D7" s="34" t="s">
        <v>104</v>
      </c>
      <c r="E7" s="39" t="s">
        <v>61</v>
      </c>
      <c r="F7" s="104" t="str">
        <f>HLOOKUP(F$3,'3-1. 진단 결과(Apache)'!$F$3:$G$23,ROW(A5),FALSE)</f>
        <v>취약</v>
      </c>
      <c r="H7" s="171"/>
      <c r="I7" s="62">
        <f t="shared" si="0"/>
        <v>0</v>
      </c>
      <c r="J7" s="63">
        <f t="shared" si="1"/>
        <v>0</v>
      </c>
      <c r="K7" s="64">
        <f t="shared" si="2"/>
        <v>1</v>
      </c>
      <c r="L7" s="65">
        <f t="shared" si="3"/>
        <v>0</v>
      </c>
    </row>
    <row r="8" spans="1:12" ht="16.5" customHeight="1">
      <c r="A8" s="9"/>
      <c r="B8" s="178"/>
      <c r="C8" s="39">
        <v>3</v>
      </c>
      <c r="D8" s="34" t="s">
        <v>126</v>
      </c>
      <c r="E8" s="39" t="s">
        <v>62</v>
      </c>
      <c r="F8" s="104" t="str">
        <f>HLOOKUP(F$3,'3-1. 진단 결과(Apache)'!$F$3:$G$23,ROW(A6),FALSE)</f>
        <v>취약</v>
      </c>
      <c r="H8" s="171"/>
      <c r="I8" s="62">
        <f t="shared" si="0"/>
        <v>0</v>
      </c>
      <c r="J8" s="63">
        <f t="shared" si="1"/>
        <v>0</v>
      </c>
      <c r="K8" s="64">
        <f t="shared" si="2"/>
        <v>1</v>
      </c>
      <c r="L8" s="65">
        <f t="shared" si="3"/>
        <v>0</v>
      </c>
    </row>
    <row r="9" spans="1:12" ht="16.5" customHeight="1">
      <c r="A9" s="9"/>
      <c r="B9" s="178"/>
      <c r="C9" s="39">
        <v>4</v>
      </c>
      <c r="D9" s="34" t="s">
        <v>102</v>
      </c>
      <c r="E9" s="39" t="s">
        <v>64</v>
      </c>
      <c r="F9" s="104" t="str">
        <f>HLOOKUP(F$3,'3-1. 진단 결과(Apache)'!$F$3:$G$23,ROW(A7),FALSE)</f>
        <v>취약</v>
      </c>
      <c r="H9" s="171"/>
      <c r="I9" s="62">
        <f t="shared" si="0"/>
        <v>0</v>
      </c>
      <c r="J9" s="63">
        <f t="shared" si="1"/>
        <v>0</v>
      </c>
      <c r="K9" s="64">
        <f t="shared" si="2"/>
        <v>1</v>
      </c>
      <c r="L9" s="65">
        <f t="shared" si="3"/>
        <v>0</v>
      </c>
    </row>
    <row r="10" spans="1:12" ht="16.5" customHeight="1">
      <c r="A10" s="9"/>
      <c r="B10" s="178"/>
      <c r="C10" s="39">
        <v>5</v>
      </c>
      <c r="D10" s="7" t="s">
        <v>103</v>
      </c>
      <c r="E10" s="8" t="s">
        <v>61</v>
      </c>
      <c r="F10" s="105" t="str">
        <f>HLOOKUP(F$3,'3-1. 진단 결과(Apache)'!$F$3:$G$23,ROW(A8),FALSE)</f>
        <v>취약</v>
      </c>
      <c r="H10" s="171"/>
      <c r="I10" s="66">
        <f t="shared" si="0"/>
        <v>0</v>
      </c>
      <c r="J10" s="67">
        <f t="shared" si="1"/>
        <v>0</v>
      </c>
      <c r="K10" s="68">
        <f t="shared" si="2"/>
        <v>1</v>
      </c>
      <c r="L10" s="69">
        <f t="shared" si="3"/>
        <v>0</v>
      </c>
    </row>
    <row r="11" spans="1:12" ht="16.5" customHeight="1">
      <c r="A11" s="9"/>
      <c r="B11" s="178"/>
      <c r="C11" s="39">
        <v>6</v>
      </c>
      <c r="D11" s="37" t="s">
        <v>48</v>
      </c>
      <c r="E11" s="38" t="s">
        <v>62</v>
      </c>
      <c r="F11" s="104" t="str">
        <f>HLOOKUP(F$3,'3-1. 진단 결과(Apache)'!$F$3:$G$23,ROW(A9),FALSE)</f>
        <v>양호</v>
      </c>
      <c r="H11" s="171"/>
      <c r="I11" s="62">
        <f t="shared" si="0"/>
        <v>1</v>
      </c>
      <c r="J11" s="63">
        <f t="shared" si="1"/>
        <v>1</v>
      </c>
      <c r="K11" s="64">
        <f t="shared" si="2"/>
        <v>0</v>
      </c>
      <c r="L11" s="65">
        <f t="shared" si="3"/>
        <v>0</v>
      </c>
    </row>
    <row r="12" spans="1:12" ht="16.5" customHeight="1">
      <c r="A12" s="9"/>
      <c r="B12" s="178"/>
      <c r="C12" s="39">
        <v>7</v>
      </c>
      <c r="D12" s="7" t="s">
        <v>43</v>
      </c>
      <c r="E12" s="8" t="s">
        <v>62</v>
      </c>
      <c r="F12" s="104" t="str">
        <f>HLOOKUP(F$3,'3-1. 진단 결과(Apache)'!$F$3:$G$23,ROW(A10),FALSE)</f>
        <v>취약</v>
      </c>
      <c r="H12" s="171"/>
      <c r="I12" s="62">
        <f t="shared" si="0"/>
        <v>0</v>
      </c>
      <c r="J12" s="63">
        <f t="shared" si="1"/>
        <v>0</v>
      </c>
      <c r="K12" s="64">
        <f t="shared" si="2"/>
        <v>1</v>
      </c>
      <c r="L12" s="65">
        <f t="shared" si="3"/>
        <v>0</v>
      </c>
    </row>
    <row r="13" spans="1:12" ht="16.5" customHeight="1">
      <c r="A13" s="9"/>
      <c r="B13" s="178"/>
      <c r="C13" s="39">
        <v>8</v>
      </c>
      <c r="D13" s="7" t="s">
        <v>49</v>
      </c>
      <c r="E13" s="8" t="s">
        <v>65</v>
      </c>
      <c r="F13" s="104" t="str">
        <f>HLOOKUP(F$3,'3-1. 진단 결과(Apache)'!$F$3:$G$23,ROW(A11),FALSE)</f>
        <v>취약</v>
      </c>
      <c r="H13" s="171"/>
      <c r="I13" s="62">
        <f t="shared" si="0"/>
        <v>0</v>
      </c>
      <c r="J13" s="63">
        <f t="shared" si="1"/>
        <v>0</v>
      </c>
      <c r="K13" s="64">
        <f t="shared" si="2"/>
        <v>1</v>
      </c>
      <c r="L13" s="65">
        <f t="shared" si="3"/>
        <v>0</v>
      </c>
    </row>
    <row r="14" spans="1:12" ht="16.5" customHeight="1">
      <c r="A14" s="9"/>
      <c r="B14" s="178"/>
      <c r="C14" s="39">
        <v>9</v>
      </c>
      <c r="D14" s="7" t="s">
        <v>53</v>
      </c>
      <c r="E14" s="8" t="s">
        <v>63</v>
      </c>
      <c r="F14" s="105" t="str">
        <f>HLOOKUP(F$3,'3-1. 진단 결과(Apache)'!$F$3:$G$23,ROW(A12),FALSE)</f>
        <v>취약</v>
      </c>
      <c r="H14" s="171"/>
      <c r="I14" s="66">
        <f t="shared" si="0"/>
        <v>0</v>
      </c>
      <c r="J14" s="67">
        <f t="shared" si="1"/>
        <v>0</v>
      </c>
      <c r="K14" s="68">
        <f t="shared" si="2"/>
        <v>1</v>
      </c>
      <c r="L14" s="69">
        <f t="shared" si="3"/>
        <v>0</v>
      </c>
    </row>
    <row r="15" spans="1:12" ht="16.5" customHeight="1">
      <c r="A15" s="14"/>
      <c r="B15" s="178"/>
      <c r="C15" s="39">
        <v>10</v>
      </c>
      <c r="D15" s="37" t="s">
        <v>54</v>
      </c>
      <c r="E15" s="38" t="s">
        <v>61</v>
      </c>
      <c r="F15" s="104" t="str">
        <f>HLOOKUP(F$3,'3-1. 진단 결과(Apache)'!$F$3:$G$23,ROW(A13),FALSE)</f>
        <v>취약</v>
      </c>
      <c r="H15" s="171"/>
      <c r="I15" s="62">
        <f t="shared" si="0"/>
        <v>0</v>
      </c>
      <c r="J15" s="63">
        <f t="shared" si="1"/>
        <v>0</v>
      </c>
      <c r="K15" s="68">
        <f t="shared" si="2"/>
        <v>1</v>
      </c>
      <c r="L15" s="69">
        <f t="shared" si="3"/>
        <v>0</v>
      </c>
    </row>
    <row r="16" spans="1:12" ht="16.5" customHeight="1">
      <c r="A16" s="14"/>
      <c r="B16" s="178"/>
      <c r="C16" s="39">
        <v>11</v>
      </c>
      <c r="D16" s="37" t="s">
        <v>55</v>
      </c>
      <c r="E16" s="38" t="s">
        <v>46</v>
      </c>
      <c r="F16" s="104" t="str">
        <f>HLOOKUP(F$3,'3-1. 진단 결과(Apache)'!$F$3:$G$23,ROW(A14),FALSE)</f>
        <v>취약</v>
      </c>
      <c r="H16" s="171"/>
      <c r="I16" s="62">
        <f t="shared" si="0"/>
        <v>0</v>
      </c>
      <c r="J16" s="63">
        <f t="shared" si="1"/>
        <v>0</v>
      </c>
      <c r="K16" s="68">
        <f t="shared" si="2"/>
        <v>1</v>
      </c>
      <c r="L16" s="69">
        <f t="shared" si="3"/>
        <v>0</v>
      </c>
    </row>
    <row r="17" spans="1:12" ht="16.5" customHeight="1">
      <c r="A17" s="14"/>
      <c r="B17" s="178"/>
      <c r="C17" s="39">
        <v>12</v>
      </c>
      <c r="D17" s="37" t="s">
        <v>56</v>
      </c>
      <c r="E17" s="38" t="s">
        <v>46</v>
      </c>
      <c r="F17" s="104" t="str">
        <f>HLOOKUP(F$3,'3-1. 진단 결과(Apache)'!$F$3:$G$23,ROW(A15),FALSE)</f>
        <v>취약</v>
      </c>
      <c r="H17" s="171"/>
      <c r="I17" s="62">
        <f t="shared" si="0"/>
        <v>0</v>
      </c>
      <c r="J17" s="63">
        <f t="shared" si="1"/>
        <v>0</v>
      </c>
      <c r="K17" s="68">
        <f t="shared" si="2"/>
        <v>1</v>
      </c>
      <c r="L17" s="69">
        <f t="shared" si="3"/>
        <v>0</v>
      </c>
    </row>
    <row r="18" spans="1:12" ht="16.5" customHeight="1">
      <c r="A18" s="14"/>
      <c r="B18" s="178"/>
      <c r="C18" s="39">
        <v>13</v>
      </c>
      <c r="D18" s="7" t="s">
        <v>70</v>
      </c>
      <c r="E18" s="8" t="s">
        <v>62</v>
      </c>
      <c r="F18" s="104" t="str">
        <f>HLOOKUP(F$3,'3-1. 진단 결과(Apache)'!$F$3:$G$23,ROW(A16),FALSE)</f>
        <v>취약</v>
      </c>
      <c r="H18" s="171"/>
      <c r="I18" s="62">
        <f t="shared" si="0"/>
        <v>0</v>
      </c>
      <c r="J18" s="63">
        <f t="shared" si="1"/>
        <v>0</v>
      </c>
      <c r="K18" s="68">
        <f t="shared" si="2"/>
        <v>1</v>
      </c>
      <c r="L18" s="69">
        <f t="shared" si="3"/>
        <v>0</v>
      </c>
    </row>
    <row r="19" spans="1:12" ht="16.5" customHeight="1" thickBot="1">
      <c r="A19" s="14"/>
      <c r="B19" s="179"/>
      <c r="C19" s="35">
        <v>14</v>
      </c>
      <c r="D19" s="48" t="s">
        <v>71</v>
      </c>
      <c r="E19" s="35" t="s">
        <v>62</v>
      </c>
      <c r="F19" s="106" t="str">
        <f>HLOOKUP(F$3,'3-1. 진단 결과(Apache)'!$F$3:$G$23,ROW(A17),FALSE)</f>
        <v>취약</v>
      </c>
      <c r="H19" s="172"/>
      <c r="I19" s="80">
        <f t="shared" ref="I19:I23" si="4">IF(COUNTIF($F19:$F19,"N/A")=COUNTA($F19:$F19),"N/A",$J19/(COUNTA($F19:$F19)-$L19))</f>
        <v>0</v>
      </c>
      <c r="J19" s="63">
        <f t="shared" si="1"/>
        <v>0</v>
      </c>
      <c r="K19" s="82">
        <f t="shared" ref="K19:K23" si="5">COUNTIF($F19:$F19,"취약")</f>
        <v>1</v>
      </c>
      <c r="L19" s="83">
        <f t="shared" ref="L19:L23" si="6">COUNTIF($F19:$F19,"N/A")</f>
        <v>0</v>
      </c>
    </row>
    <row r="20" spans="1:12" ht="16.5" customHeight="1">
      <c r="A20" s="14"/>
      <c r="B20" s="177" t="s">
        <v>60</v>
      </c>
      <c r="C20" s="36">
        <v>1</v>
      </c>
      <c r="D20" s="33" t="s">
        <v>57</v>
      </c>
      <c r="E20" s="36" t="s">
        <v>65</v>
      </c>
      <c r="F20" s="103" t="str">
        <f>HLOOKUP(F$3,'3-1. 진단 결과(Apache)'!$F$3:$G$23,ROW(A18),FALSE)</f>
        <v>양호</v>
      </c>
      <c r="H20" s="170">
        <f>IF(COUNTIF(I20:I22,"N/A")=COUNTA(I20:I22),"N/A",AVERAGE(I20:I22))</f>
        <v>0.33333333333333331</v>
      </c>
      <c r="I20" s="70">
        <f t="shared" si="4"/>
        <v>1</v>
      </c>
      <c r="J20" s="71">
        <f t="shared" ref="J20:J23" si="7">COUNTIF($F20:$F20,"양호")</f>
        <v>1</v>
      </c>
      <c r="K20" s="72">
        <f t="shared" si="5"/>
        <v>0</v>
      </c>
      <c r="L20" s="73">
        <f t="shared" si="6"/>
        <v>0</v>
      </c>
    </row>
    <row r="21" spans="1:12" ht="16.5" customHeight="1">
      <c r="A21" s="14"/>
      <c r="B21" s="178"/>
      <c r="C21" s="8">
        <v>2</v>
      </c>
      <c r="D21" s="7" t="s">
        <v>50</v>
      </c>
      <c r="E21" s="8" t="s">
        <v>63</v>
      </c>
      <c r="F21" s="104" t="str">
        <f>HLOOKUP(F$3,'3-1. 진단 결과(Apache)'!$F$3:$G$23,ROW(A19),FALSE)</f>
        <v>취약</v>
      </c>
      <c r="H21" s="171"/>
      <c r="I21" s="62">
        <f t="shared" si="4"/>
        <v>0</v>
      </c>
      <c r="J21" s="63">
        <f t="shared" si="7"/>
        <v>0</v>
      </c>
      <c r="K21" s="64">
        <f t="shared" si="5"/>
        <v>1</v>
      </c>
      <c r="L21" s="65">
        <f t="shared" si="6"/>
        <v>0</v>
      </c>
    </row>
    <row r="22" spans="1:12" ht="16.5" customHeight="1" thickBot="1">
      <c r="A22" s="14"/>
      <c r="B22" s="179"/>
      <c r="C22" s="35">
        <v>3</v>
      </c>
      <c r="D22" s="48" t="s">
        <v>58</v>
      </c>
      <c r="E22" s="35" t="s">
        <v>62</v>
      </c>
      <c r="F22" s="107" t="str">
        <f>HLOOKUP(F$3,'3-1. 진단 결과(Apache)'!$F$3:$G$23,ROW(A20),FALSE)</f>
        <v>취약</v>
      </c>
      <c r="H22" s="172"/>
      <c r="I22" s="80">
        <f t="shared" si="4"/>
        <v>0</v>
      </c>
      <c r="J22" s="81">
        <f t="shared" si="7"/>
        <v>0</v>
      </c>
      <c r="K22" s="82">
        <f t="shared" si="5"/>
        <v>1</v>
      </c>
      <c r="L22" s="83">
        <f t="shared" si="6"/>
        <v>0</v>
      </c>
    </row>
    <row r="23" spans="1:12" ht="16.5" customHeight="1" thickBot="1">
      <c r="A23" s="14"/>
      <c r="B23" s="84" t="s">
        <v>59</v>
      </c>
      <c r="C23" s="85">
        <v>1</v>
      </c>
      <c r="D23" s="51" t="s">
        <v>33</v>
      </c>
      <c r="E23" s="49" t="s">
        <v>66</v>
      </c>
      <c r="F23" s="108" t="str">
        <f>HLOOKUP(F$3,'3-1. 진단 결과(Apache)'!$F$3:$G$23,ROW(A21),FALSE)</f>
        <v>양호</v>
      </c>
      <c r="H23" s="53">
        <f>IF(COUNTIF(I23:I23,"N/A")=COUNTA(I23:I23),"N/A",AVERAGE(I23:I23))</f>
        <v>1</v>
      </c>
      <c r="I23" s="74">
        <f t="shared" si="4"/>
        <v>1</v>
      </c>
      <c r="J23" s="75">
        <f t="shared" si="7"/>
        <v>1</v>
      </c>
      <c r="K23" s="76">
        <f t="shared" si="5"/>
        <v>0</v>
      </c>
      <c r="L23" s="77">
        <f t="shared" si="6"/>
        <v>0</v>
      </c>
    </row>
    <row r="24" spans="1:12" ht="16.5" customHeight="1">
      <c r="A24" s="9"/>
      <c r="B24" s="173" t="s">
        <v>31</v>
      </c>
      <c r="C24" s="175" t="s">
        <v>5</v>
      </c>
      <c r="D24" s="175"/>
      <c r="E24" s="175"/>
      <c r="F24" s="109">
        <f>COUNTIF(F$6:F$23, "취약")</f>
        <v>14</v>
      </c>
    </row>
    <row r="25" spans="1:12" ht="16.5" customHeight="1" thickBot="1">
      <c r="A25" s="9"/>
      <c r="B25" s="174"/>
      <c r="C25" s="176" t="s">
        <v>30</v>
      </c>
      <c r="D25" s="176"/>
      <c r="E25" s="176"/>
      <c r="F25" s="110">
        <f>(COUNTIF(F$6:F$23,"양호"))/(COUNTA(F$6:F$23)-COUNTIF(F$6:F$23,"N/A"))</f>
        <v>0.22222222222222221</v>
      </c>
    </row>
    <row r="26" spans="1:12" ht="16.5" customHeight="1"/>
    <row r="27" spans="1:12" ht="16.5" customHeight="1">
      <c r="A27" s="2"/>
      <c r="B27" s="2"/>
      <c r="C27" s="2"/>
      <c r="D27" s="2"/>
      <c r="E27" s="2"/>
      <c r="F27" s="2"/>
    </row>
    <row r="28" spans="1:12" ht="16.5" customHeight="1">
      <c r="A28" s="2"/>
      <c r="B28" s="2"/>
      <c r="C28" s="2"/>
      <c r="D28" s="2"/>
      <c r="E28" s="2"/>
      <c r="F28" s="2"/>
    </row>
    <row r="29" spans="1:12">
      <c r="A29" s="2"/>
      <c r="B29" s="2"/>
      <c r="C29" s="2"/>
      <c r="D29" s="2"/>
      <c r="E29" s="2"/>
      <c r="F29" s="2"/>
    </row>
    <row r="30" spans="1:12">
      <c r="A30" s="2"/>
      <c r="B30" s="2"/>
      <c r="C30" s="2"/>
      <c r="D30" s="2"/>
      <c r="E30" s="2"/>
      <c r="F30" s="2"/>
    </row>
  </sheetData>
  <mergeCells count="12">
    <mergeCell ref="H6:H19"/>
    <mergeCell ref="H20:H22"/>
    <mergeCell ref="B24:B25"/>
    <mergeCell ref="C24:E24"/>
    <mergeCell ref="C25:E25"/>
    <mergeCell ref="B20:B22"/>
    <mergeCell ref="B6:B19"/>
    <mergeCell ref="B3:B5"/>
    <mergeCell ref="C3:C5"/>
    <mergeCell ref="D3:D5"/>
    <mergeCell ref="E3:E5"/>
    <mergeCell ref="B2:F2"/>
  </mergeCells>
  <phoneticPr fontId="3" type="noConversion"/>
  <conditionalFormatting sqref="A7:A22 C7:E22">
    <cfRule type="cellIs" dxfId="61" priority="8" operator="equal">
      <formula>"미흡"</formula>
    </cfRule>
  </conditionalFormatting>
  <conditionalFormatting sqref="A2:B2">
    <cfRule type="cellIs" dxfId="60" priority="18" operator="equal">
      <formula>"미흡"</formula>
    </cfRule>
  </conditionalFormatting>
  <conditionalFormatting sqref="A4:E6 A23:E23">
    <cfRule type="cellIs" dxfId="59" priority="26" operator="equal">
      <formula>"미흡"</formula>
    </cfRule>
  </conditionalFormatting>
  <conditionalFormatting sqref="A3:F3 F24 A24:A25 A26:F1048576">
    <cfRule type="cellIs" dxfId="58" priority="12" operator="equal">
      <formula>"미흡"</formula>
    </cfRule>
  </conditionalFormatting>
  <conditionalFormatting sqref="B24:C24 C25">
    <cfRule type="cellIs" dxfId="57" priority="17" operator="equal">
      <formula>"미흡"</formula>
    </cfRule>
  </conditionalFormatting>
  <conditionalFormatting sqref="F1:F1048576">
    <cfRule type="cellIs" dxfId="56" priority="1" operator="equal">
      <formula>"인터뷰"</formula>
    </cfRule>
    <cfRule type="cellIs" dxfId="55" priority="2" operator="equal">
      <formula>"확인"</formula>
    </cfRule>
  </conditionalFormatting>
  <conditionalFormatting sqref="F4:F5">
    <cfRule type="cellIs" dxfId="54" priority="24" operator="equal">
      <formula>"미흡"</formula>
    </cfRule>
  </conditionalFormatting>
  <conditionalFormatting sqref="F4:F23">
    <cfRule type="cellIs" dxfId="53" priority="25" operator="equal">
      <formula>"취약"</formula>
    </cfRule>
  </conditionalFormatting>
  <conditionalFormatting sqref="F6:F23">
    <cfRule type="cellIs" dxfId="52" priority="76" operator="equal">
      <formula>"N/A"</formula>
    </cfRule>
  </conditionalFormatting>
  <conditionalFormatting sqref="F25">
    <cfRule type="cellIs" dxfId="51" priority="19" operator="equal">
      <formula>"N/A"</formula>
    </cfRule>
    <cfRule type="cellIs" dxfId="50" priority="20" operator="equal">
      <formula>"N/A"</formula>
    </cfRule>
    <cfRule type="cellIs" dxfId="49" priority="21" operator="equal">
      <formula>"""N/A"""</formula>
    </cfRule>
  </conditionalFormatting>
  <pageMargins left="0.23622047244094491" right="0.23622047244094491" top="0.74803149606299213" bottom="0.74803149606299213" header="0.31496062992125984" footer="0.31496062992125984"/>
  <pageSetup paperSize="9" scale="88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"/>
  <sheetViews>
    <sheetView tabSelected="1" view="pageBreakPreview" zoomScale="40" zoomScaleNormal="40" zoomScaleSheetLayoutView="40" zoomScalePageLayoutView="70" workbookViewId="0">
      <selection activeCell="N6" sqref="N6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32.796875" style="6" customWidth="1"/>
    <col min="6" max="6" width="7.8984375" style="6" bestFit="1" customWidth="1"/>
    <col min="7" max="7" width="100.69921875" style="2" customWidth="1"/>
    <col min="8" max="16384" width="8.8984375" style="2"/>
  </cols>
  <sheetData>
    <row r="1" spans="1:7" ht="12" customHeight="1"/>
    <row r="2" spans="1:7" ht="36.75" customHeight="1" thickBot="1">
      <c r="A2" s="3"/>
      <c r="B2" s="169" t="s">
        <v>88</v>
      </c>
      <c r="C2" s="169"/>
      <c r="D2" s="169"/>
      <c r="E2" s="169"/>
      <c r="F2" s="12"/>
      <c r="G2" s="10"/>
    </row>
    <row r="3" spans="1:7" ht="17.25" customHeight="1">
      <c r="A3" s="4"/>
      <c r="B3" s="177" t="s">
        <v>6</v>
      </c>
      <c r="C3" s="180" t="s">
        <v>7</v>
      </c>
      <c r="D3" s="180" t="s">
        <v>8</v>
      </c>
      <c r="E3" s="180" t="s">
        <v>41</v>
      </c>
      <c r="F3" s="166">
        <v>1</v>
      </c>
      <c r="G3" s="128" t="str">
        <f>VLOOKUP(F$3,'1. 진단 대상'!$B$5:$F$5,2,FALSE)</f>
        <v>jwp-web-01</v>
      </c>
    </row>
    <row r="4" spans="1:7" ht="17.25" customHeight="1">
      <c r="A4" s="4"/>
      <c r="B4" s="178"/>
      <c r="C4" s="181"/>
      <c r="D4" s="181"/>
      <c r="E4" s="181"/>
      <c r="F4" s="182"/>
      <c r="G4" s="101" t="str">
        <f>VLOOKUP(F$3,'1. 진단 대상'!$B$5:$F$5,3,FALSE)</f>
        <v>10.0.0.14</v>
      </c>
    </row>
    <row r="5" spans="1:7" ht="17.25" customHeight="1" thickBot="1">
      <c r="A5" s="4"/>
      <c r="B5" s="178"/>
      <c r="C5" s="181"/>
      <c r="D5" s="181"/>
      <c r="E5" s="181"/>
      <c r="F5" s="183"/>
      <c r="G5" s="129" t="str">
        <f>VLOOKUP(F$3,'1. 진단 대상'!$B$5:$F$5,5,FALSE)</f>
        <v>WEB Service</v>
      </c>
    </row>
    <row r="6" spans="1:7" ht="141.6" customHeight="1">
      <c r="A6" s="5"/>
      <c r="B6" s="177" t="s">
        <v>51</v>
      </c>
      <c r="C6" s="119">
        <v>1</v>
      </c>
      <c r="D6" s="120" t="s">
        <v>52</v>
      </c>
      <c r="E6" s="120" t="s">
        <v>73</v>
      </c>
      <c r="F6" s="125" t="s">
        <v>44</v>
      </c>
      <c r="G6" s="130"/>
    </row>
    <row r="7" spans="1:7" ht="93" customHeight="1">
      <c r="B7" s="178"/>
      <c r="C7" s="114">
        <v>2</v>
      </c>
      <c r="D7" s="116" t="s">
        <v>104</v>
      </c>
      <c r="E7" s="122" t="s">
        <v>74</v>
      </c>
      <c r="F7" s="15" t="s">
        <v>123</v>
      </c>
      <c r="G7" s="131" t="s">
        <v>118</v>
      </c>
    </row>
    <row r="8" spans="1:7" ht="346.95" customHeight="1">
      <c r="B8" s="178"/>
      <c r="C8" s="114">
        <v>3</v>
      </c>
      <c r="D8" s="116" t="s">
        <v>126</v>
      </c>
      <c r="E8" s="122" t="s">
        <v>99</v>
      </c>
      <c r="F8" s="8" t="s">
        <v>123</v>
      </c>
      <c r="G8" s="131" t="s">
        <v>106</v>
      </c>
    </row>
    <row r="9" spans="1:7" ht="187.2" customHeight="1">
      <c r="B9" s="178"/>
      <c r="C9" s="39">
        <v>4</v>
      </c>
      <c r="D9" s="115" t="s">
        <v>102</v>
      </c>
      <c r="E9" s="123" t="s">
        <v>75</v>
      </c>
      <c r="F9" s="8" t="s">
        <v>123</v>
      </c>
      <c r="G9" s="131" t="s">
        <v>107</v>
      </c>
    </row>
    <row r="10" spans="1:7" ht="334.95" customHeight="1">
      <c r="B10" s="178"/>
      <c r="C10" s="39">
        <v>5</v>
      </c>
      <c r="D10" s="7" t="s">
        <v>103</v>
      </c>
      <c r="E10" s="117" t="s">
        <v>100</v>
      </c>
      <c r="F10" s="8" t="s">
        <v>123</v>
      </c>
      <c r="G10" s="131" t="s">
        <v>108</v>
      </c>
    </row>
    <row r="11" spans="1:7" ht="109.2">
      <c r="B11" s="178"/>
      <c r="C11" s="39">
        <v>6</v>
      </c>
      <c r="D11" s="37" t="s">
        <v>48</v>
      </c>
      <c r="E11" s="124" t="s">
        <v>101</v>
      </c>
      <c r="F11" s="8" t="s">
        <v>45</v>
      </c>
      <c r="G11" s="127"/>
    </row>
    <row r="12" spans="1:7" ht="62.4">
      <c r="B12" s="178"/>
      <c r="C12" s="39">
        <v>7</v>
      </c>
      <c r="D12" s="7" t="s">
        <v>43</v>
      </c>
      <c r="E12" s="117" t="s">
        <v>76</v>
      </c>
      <c r="F12" s="15" t="s">
        <v>123</v>
      </c>
      <c r="G12" s="132" t="s">
        <v>105</v>
      </c>
    </row>
    <row r="13" spans="1:7" ht="175.2" customHeight="1">
      <c r="B13" s="178"/>
      <c r="C13" s="39">
        <v>8</v>
      </c>
      <c r="D13" s="7" t="s">
        <v>49</v>
      </c>
      <c r="E13" s="117" t="s">
        <v>77</v>
      </c>
      <c r="F13" s="8" t="s">
        <v>123</v>
      </c>
      <c r="G13" s="131" t="s">
        <v>109</v>
      </c>
    </row>
    <row r="14" spans="1:7" ht="146.4" customHeight="1">
      <c r="B14" s="178"/>
      <c r="C14" s="39">
        <v>9</v>
      </c>
      <c r="D14" s="7" t="s">
        <v>53</v>
      </c>
      <c r="E14" s="117" t="s">
        <v>78</v>
      </c>
      <c r="F14" s="8" t="s">
        <v>123</v>
      </c>
      <c r="G14" s="131" t="s">
        <v>110</v>
      </c>
    </row>
    <row r="15" spans="1:7" ht="80.25" customHeight="1">
      <c r="A15" s="5"/>
      <c r="B15" s="178"/>
      <c r="C15" s="39">
        <v>10</v>
      </c>
      <c r="D15" s="37" t="s">
        <v>119</v>
      </c>
      <c r="E15" s="124" t="s">
        <v>79</v>
      </c>
      <c r="F15" s="8" t="s">
        <v>123</v>
      </c>
      <c r="G15" s="131" t="s">
        <v>111</v>
      </c>
    </row>
    <row r="16" spans="1:7" ht="78.45" customHeight="1">
      <c r="A16" s="5"/>
      <c r="B16" s="178"/>
      <c r="C16" s="39">
        <v>11</v>
      </c>
      <c r="D16" s="37" t="s">
        <v>120</v>
      </c>
      <c r="E16" s="124" t="s">
        <v>80</v>
      </c>
      <c r="F16" s="8" t="s">
        <v>123</v>
      </c>
      <c r="G16" s="133" t="s">
        <v>112</v>
      </c>
    </row>
    <row r="17" spans="1:7" ht="79.650000000000006" customHeight="1">
      <c r="A17" s="5"/>
      <c r="B17" s="178"/>
      <c r="C17" s="39">
        <v>12</v>
      </c>
      <c r="D17" s="37" t="s">
        <v>72</v>
      </c>
      <c r="E17" s="124" t="s">
        <v>81</v>
      </c>
      <c r="F17" s="8" t="s">
        <v>123</v>
      </c>
      <c r="G17" s="131" t="s">
        <v>117</v>
      </c>
    </row>
    <row r="18" spans="1:7" ht="208.2" customHeight="1">
      <c r="A18" s="5"/>
      <c r="B18" s="178"/>
      <c r="C18" s="39">
        <v>13</v>
      </c>
      <c r="D18" s="7" t="s">
        <v>69</v>
      </c>
      <c r="E18" s="117" t="s">
        <v>82</v>
      </c>
      <c r="F18" s="8" t="s">
        <v>123</v>
      </c>
      <c r="G18" s="131" t="s">
        <v>113</v>
      </c>
    </row>
    <row r="19" spans="1:7" ht="82.95" customHeight="1" thickBot="1">
      <c r="A19" s="5"/>
      <c r="B19" s="179"/>
      <c r="C19" s="35">
        <v>14</v>
      </c>
      <c r="D19" s="48" t="s">
        <v>71</v>
      </c>
      <c r="E19" s="48" t="s">
        <v>83</v>
      </c>
      <c r="F19" s="126" t="s">
        <v>123</v>
      </c>
      <c r="G19" s="134" t="s">
        <v>114</v>
      </c>
    </row>
    <row r="20" spans="1:7" ht="62.4">
      <c r="A20" s="5"/>
      <c r="B20" s="177" t="s">
        <v>68</v>
      </c>
      <c r="C20" s="36">
        <v>1</v>
      </c>
      <c r="D20" s="33" t="s">
        <v>57</v>
      </c>
      <c r="E20" s="33" t="s">
        <v>84</v>
      </c>
      <c r="F20" s="44" t="s">
        <v>44</v>
      </c>
      <c r="G20" s="135"/>
    </row>
    <row r="21" spans="1:7" ht="66.599999999999994" customHeight="1">
      <c r="A21" s="5"/>
      <c r="B21" s="178"/>
      <c r="C21" s="8">
        <v>2</v>
      </c>
      <c r="D21" s="7" t="s">
        <v>50</v>
      </c>
      <c r="E21" s="7" t="s">
        <v>85</v>
      </c>
      <c r="F21" s="15" t="s">
        <v>123</v>
      </c>
      <c r="G21" s="131" t="s">
        <v>115</v>
      </c>
    </row>
    <row r="22" spans="1:7" ht="66.599999999999994" customHeight="1" thickBot="1">
      <c r="A22" s="5"/>
      <c r="B22" s="179"/>
      <c r="C22" s="35">
        <v>3</v>
      </c>
      <c r="D22" s="48" t="s">
        <v>121</v>
      </c>
      <c r="E22" s="48" t="s">
        <v>86</v>
      </c>
      <c r="F22" s="118" t="s">
        <v>123</v>
      </c>
      <c r="G22" s="136" t="s">
        <v>116</v>
      </c>
    </row>
    <row r="23" spans="1:7" ht="63" thickBot="1">
      <c r="A23" s="5"/>
      <c r="B23" s="84" t="s">
        <v>67</v>
      </c>
      <c r="C23" s="49">
        <v>1</v>
      </c>
      <c r="D23" s="51" t="s">
        <v>33</v>
      </c>
      <c r="E23" s="51" t="s">
        <v>87</v>
      </c>
      <c r="F23" s="52" t="s">
        <v>44</v>
      </c>
      <c r="G23" s="137"/>
    </row>
    <row r="24" spans="1:7" ht="17.25" customHeight="1">
      <c r="B24" s="173" t="s">
        <v>31</v>
      </c>
      <c r="C24" s="175" t="s">
        <v>10</v>
      </c>
      <c r="D24" s="175"/>
      <c r="E24" s="175"/>
      <c r="F24" s="45">
        <f>COUNTIF(F$6:F$23,"취약")</f>
        <v>14</v>
      </c>
      <c r="G24" s="109"/>
    </row>
    <row r="25" spans="1:7" ht="17.25" customHeight="1" thickBot="1">
      <c r="B25" s="174"/>
      <c r="C25" s="176" t="s">
        <v>30</v>
      </c>
      <c r="D25" s="176"/>
      <c r="E25" s="176"/>
      <c r="F25" s="31">
        <f>(COUNTIF(F$6:F$23,"양호"))/(COUNTA(F$6:F$23)-COUNTIF(F$6:F$23,"N/A"))</f>
        <v>0.22222222222222221</v>
      </c>
      <c r="G25" s="111"/>
    </row>
    <row r="26" spans="1:7">
      <c r="A26" s="2"/>
      <c r="B26" s="2"/>
      <c r="C26" s="2"/>
      <c r="D26" s="2"/>
      <c r="E26" s="2"/>
      <c r="F26" s="2"/>
    </row>
    <row r="27" spans="1:7">
      <c r="A27" s="2"/>
      <c r="B27" s="2"/>
      <c r="C27" s="2"/>
      <c r="D27" s="2"/>
      <c r="E27" s="2"/>
      <c r="F27" s="2"/>
    </row>
  </sheetData>
  <mergeCells count="11">
    <mergeCell ref="F3:F5"/>
    <mergeCell ref="B24:B25"/>
    <mergeCell ref="C24:E24"/>
    <mergeCell ref="C25:E25"/>
    <mergeCell ref="B20:B22"/>
    <mergeCell ref="B6:B19"/>
    <mergeCell ref="B2:E2"/>
    <mergeCell ref="E3:E5"/>
    <mergeCell ref="B3:B5"/>
    <mergeCell ref="C3:C5"/>
    <mergeCell ref="D3:D5"/>
  </mergeCells>
  <phoneticPr fontId="3" type="noConversion"/>
  <conditionalFormatting sqref="A2:B2 G3:G5">
    <cfRule type="cellIs" dxfId="48" priority="1266" operator="equal">
      <formula>"미흡"</formula>
    </cfRule>
  </conditionalFormatting>
  <conditionalFormatting sqref="B3:E3">
    <cfRule type="cellIs" dxfId="47" priority="562" operator="equal">
      <formula>"N/A"</formula>
    </cfRule>
  </conditionalFormatting>
  <conditionalFormatting sqref="B24:G25">
    <cfRule type="cellIs" dxfId="46" priority="1" operator="equal">
      <formula>"N/A"</formula>
    </cfRule>
  </conditionalFormatting>
  <conditionalFormatting sqref="D6:D23">
    <cfRule type="cellIs" dxfId="45" priority="37" operator="equal">
      <formula>"미흡"</formula>
    </cfRule>
  </conditionalFormatting>
  <conditionalFormatting sqref="E6:E9">
    <cfRule type="cellIs" dxfId="44" priority="1008" operator="equal">
      <formula>"미흡"</formula>
    </cfRule>
  </conditionalFormatting>
  <conditionalFormatting sqref="E6:F11 E17:F23 E13:F15 E16:G16 C6:C23 E12:G12">
    <cfRule type="cellIs" dxfId="43" priority="1265" operator="equal">
      <formula>"N/A"</formula>
    </cfRule>
  </conditionalFormatting>
  <conditionalFormatting sqref="E10:F10">
    <cfRule type="cellIs" dxfId="42" priority="1029" operator="equal">
      <formula>"미흡"</formula>
    </cfRule>
  </conditionalFormatting>
  <conditionalFormatting sqref="F1:F1048576">
    <cfRule type="cellIs" dxfId="41" priority="563" operator="equal">
      <formula>"N/A"</formula>
    </cfRule>
    <cfRule type="cellIs" dxfId="40" priority="564" operator="equal">
      <formula>"인터뷰"</formula>
    </cfRule>
  </conditionalFormatting>
  <conditionalFormatting sqref="F3:F6">
    <cfRule type="cellIs" dxfId="39" priority="1569" operator="equal">
      <formula>"미흡"</formula>
    </cfRule>
  </conditionalFormatting>
  <conditionalFormatting sqref="F6">
    <cfRule type="containsText" dxfId="38" priority="1568" operator="containsText" text="취약">
      <formula>NOT(ISERROR(SEARCH("취약",F6)))</formula>
    </cfRule>
    <cfRule type="containsText" dxfId="37" priority="1567" operator="containsText" text="확인">
      <formula>NOT(ISERROR(SEARCH("확인",F6)))</formula>
    </cfRule>
  </conditionalFormatting>
  <conditionalFormatting sqref="F7:F9">
    <cfRule type="cellIs" dxfId="36" priority="1051" operator="equal">
      <formula>"미흡"</formula>
    </cfRule>
  </conditionalFormatting>
  <conditionalFormatting sqref="F7:F10">
    <cfRule type="containsText" dxfId="35" priority="1028" operator="containsText" text="취약">
      <formula>NOT(ISERROR(SEARCH("취약",F7)))</formula>
    </cfRule>
    <cfRule type="containsText" dxfId="34" priority="1027" operator="containsText" text="확인">
      <formula>NOT(ISERROR(SEARCH("확인",F7)))</formula>
    </cfRule>
  </conditionalFormatting>
  <conditionalFormatting sqref="F8:F10">
    <cfRule type="containsText" dxfId="33" priority="27" operator="containsText" text="취약">
      <formula>NOT(ISERROR(SEARCH("취약",F8)))</formula>
    </cfRule>
    <cfRule type="containsText" dxfId="32" priority="26" operator="containsText" text="확인">
      <formula>NOT(ISERROR(SEARCH("확인",F8)))</formula>
    </cfRule>
    <cfRule type="cellIs" dxfId="31" priority="28" operator="equal">
      <formula>"미흡"</formula>
    </cfRule>
  </conditionalFormatting>
  <conditionalFormatting sqref="F9">
    <cfRule type="cellIs" dxfId="30" priority="1007" operator="equal">
      <formula>"미흡"</formula>
    </cfRule>
    <cfRule type="containsText" dxfId="29" priority="1005" operator="containsText" text="확인">
      <formula>NOT(ISERROR(SEARCH("확인",F9)))</formula>
    </cfRule>
    <cfRule type="containsText" dxfId="28" priority="1006" operator="containsText" text="취약">
      <formula>NOT(ISERROR(SEARCH("취약",F9)))</formula>
    </cfRule>
  </conditionalFormatting>
  <conditionalFormatting sqref="F11:F13">
    <cfRule type="containsText" dxfId="27" priority="1544" operator="containsText" text="확인">
      <formula>NOT(ISERROR(SEARCH("확인",F11)))</formula>
    </cfRule>
    <cfRule type="containsText" dxfId="26" priority="1545" operator="containsText" text="취약">
      <formula>NOT(ISERROR(SEARCH("취약",F11)))</formula>
    </cfRule>
    <cfRule type="cellIs" dxfId="25" priority="1546" operator="equal">
      <formula>"미흡"</formula>
    </cfRule>
  </conditionalFormatting>
  <conditionalFormatting sqref="F13:F15">
    <cfRule type="cellIs" dxfId="24" priority="19" operator="equal">
      <formula>"미흡"</formula>
    </cfRule>
  </conditionalFormatting>
  <conditionalFormatting sqref="F13:F18">
    <cfRule type="containsText" dxfId="23" priority="9" operator="containsText" text="취약">
      <formula>NOT(ISERROR(SEARCH("취약",F13)))</formula>
    </cfRule>
    <cfRule type="containsText" dxfId="22" priority="8" operator="containsText" text="확인">
      <formula>NOT(ISERROR(SEARCH("확인",F13)))</formula>
    </cfRule>
  </conditionalFormatting>
  <conditionalFormatting sqref="F13:F21">
    <cfRule type="containsText" dxfId="21" priority="1504" operator="containsText" text="확인">
      <formula>NOT(ISERROR(SEARCH("확인",F13)))</formula>
    </cfRule>
    <cfRule type="containsText" dxfId="20" priority="1505" operator="containsText" text="취약">
      <formula>NOT(ISERROR(SEARCH("취약",F13)))</formula>
    </cfRule>
    <cfRule type="cellIs" dxfId="19" priority="1506" operator="equal">
      <formula>"미흡"</formula>
    </cfRule>
  </conditionalFormatting>
  <conditionalFormatting sqref="F17:F18">
    <cfRule type="cellIs" dxfId="18" priority="10" operator="equal">
      <formula>"미흡"</formula>
    </cfRule>
  </conditionalFormatting>
  <conditionalFormatting sqref="F19:F20">
    <cfRule type="containsText" dxfId="17" priority="1481" operator="containsText" text="취약">
      <formula>NOT(ISERROR(SEARCH("취약",F19)))</formula>
    </cfRule>
    <cfRule type="cellIs" dxfId="16" priority="1482" operator="equal">
      <formula>"미흡"</formula>
    </cfRule>
    <cfRule type="containsText" dxfId="15" priority="1480" operator="containsText" text="확인">
      <formula>NOT(ISERROR(SEARCH("확인",F19)))</formula>
    </cfRule>
  </conditionalFormatting>
  <conditionalFormatting sqref="F21:F22">
    <cfRule type="cellIs" dxfId="14" priority="655" operator="equal">
      <formula>"미흡"</formula>
    </cfRule>
    <cfRule type="containsText" dxfId="13" priority="654" operator="containsText" text="취약">
      <formula>NOT(ISERROR(SEARCH("취약",F21)))</formula>
    </cfRule>
    <cfRule type="containsText" dxfId="12" priority="653" operator="containsText" text="확인">
      <formula>NOT(ISERROR(SEARCH("확인",F21)))</formula>
    </cfRule>
  </conditionalFormatting>
  <conditionalFormatting sqref="F22">
    <cfRule type="containsText" dxfId="11" priority="5" operator="containsText" text="확인">
      <formula>NOT(ISERROR(SEARCH("확인",F22)))</formula>
    </cfRule>
    <cfRule type="containsText" dxfId="10" priority="6" operator="containsText" text="취약">
      <formula>NOT(ISERROR(SEARCH("취약",F22)))</formula>
    </cfRule>
    <cfRule type="cellIs" dxfId="9" priority="7" operator="equal">
      <formula>"미흡"</formula>
    </cfRule>
  </conditionalFormatting>
  <conditionalFormatting sqref="F23">
    <cfRule type="containsText" dxfId="8" priority="1454" operator="containsText" text="확인">
      <formula>NOT(ISERROR(SEARCH("확인",F23)))</formula>
    </cfRule>
    <cfRule type="containsText" dxfId="7" priority="1455" operator="containsText" text="취약">
      <formula>NOT(ISERROR(SEARCH("취약",F23)))</formula>
    </cfRule>
    <cfRule type="cellIs" dxfId="6" priority="1456" operator="equal">
      <formula>"미흡"</formula>
    </cfRule>
  </conditionalFormatting>
  <conditionalFormatting sqref="F2:G2 A4:A22 B6 C6:C22 E11:E23 G12 A23:C24">
    <cfRule type="cellIs" dxfId="5" priority="566" operator="equal">
      <formula>"미흡"</formula>
    </cfRule>
  </conditionalFormatting>
  <conditionalFormatting sqref="F3:G5">
    <cfRule type="cellIs" dxfId="4" priority="3" operator="equal">
      <formula>"N/A"</formula>
    </cfRule>
  </conditionalFormatting>
  <conditionalFormatting sqref="F16:G16">
    <cfRule type="cellIs" dxfId="3" priority="16" operator="equal">
      <formula>"미흡"</formula>
    </cfRule>
  </conditionalFormatting>
  <conditionalFormatting sqref="F24:G1048576 A25 C25 A26:E1048576">
    <cfRule type="cellIs" dxfId="2" priority="1590" operator="equal">
      <formula>"미흡"</formula>
    </cfRule>
  </conditionalFormatting>
  <conditionalFormatting sqref="G3:G5">
    <cfRule type="cellIs" dxfId="1" priority="4" operator="equal">
      <formula>"취약"</formula>
    </cfRule>
  </conditionalFormatting>
  <conditionalFormatting sqref="H1:XFD1048576 A3:E3">
    <cfRule type="cellIs" dxfId="0" priority="561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4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0. 표지</vt:lpstr>
      <vt:lpstr>1. 진단 대상</vt:lpstr>
      <vt:lpstr>2-1. 요약결과(그래프)</vt:lpstr>
      <vt:lpstr>2-2. 요약 진단결과(Apache)</vt:lpstr>
      <vt:lpstr>3-1. 진단 결과(Apache)</vt:lpstr>
      <vt:lpstr>'0. 표지'!Print_Area</vt:lpstr>
      <vt:lpstr>'1. 진단 대상'!Print_Area</vt:lpstr>
      <vt:lpstr>'2-1. 요약결과(그래프)'!Print_Area</vt:lpstr>
      <vt:lpstr>'2-2. 요약 진단결과(Apache)'!Print_Area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2025-09-18T06:50:40Z</cp:lastPrinted>
  <dcterms:created xsi:type="dcterms:W3CDTF">2013-02-26T07:18:51Z</dcterms:created>
  <dcterms:modified xsi:type="dcterms:W3CDTF">2025-09-18T06:50:50Z</dcterms:modified>
</cp:coreProperties>
</file>